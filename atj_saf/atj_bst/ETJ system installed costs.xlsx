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ms6987_psu_edu/Documents/Students/Students_shared/Shi_Wadgama_shared/Models/ATJSPK/atj_saf/atj_bst/"/>
    </mc:Choice>
  </mc:AlternateContent>
  <xr:revisionPtr revIDLastSave="36" documentId="11_2B59D2BFD3C05B0CF37A3C1159A090346699FB7F" xr6:coauthVersionLast="47" xr6:coauthVersionMax="47" xr10:uidLastSave="{923A19E0-CE17-465A-B651-4F83FAEE66FE}"/>
  <bookViews>
    <workbookView xWindow="57480" yWindow="51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/>
  <c r="B2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</calcChain>
</file>

<file path=xl/sharedStrings.xml><?xml version="1.0" encoding="utf-8"?>
<sst xmlns="http://schemas.openxmlformats.org/spreadsheetml/2006/main" count="28" uniqueCount="28">
  <si>
    <t>Unit</t>
  </si>
  <si>
    <t>Installed Cost</t>
  </si>
  <si>
    <t>COMP_2</t>
  </si>
  <si>
    <t>H2_STORAGE</t>
  </si>
  <si>
    <t>DISTILLATION_3</t>
  </si>
  <si>
    <t>COOLER_5</t>
  </si>
  <si>
    <t>COOLER_8</t>
  </si>
  <si>
    <t>F1</t>
  </si>
  <si>
    <t>RD_STORAGE</t>
  </si>
  <si>
    <t>FURNACE_2</t>
  </si>
  <si>
    <t>COOLER_7</t>
  </si>
  <si>
    <t>DISTILLATION_4</t>
  </si>
  <si>
    <t>SAF_STORAGE</t>
  </si>
  <si>
    <t>COMP_1</t>
  </si>
  <si>
    <t>OLIG_1</t>
  </si>
  <si>
    <t>RN_STORAGE</t>
  </si>
  <si>
    <t>T1</t>
  </si>
  <si>
    <t>DEHYD_1</t>
  </si>
  <si>
    <t>COOLER_3</t>
  </si>
  <si>
    <t>COOLER_6</t>
  </si>
  <si>
    <t>FLASH_1</t>
  </si>
  <si>
    <t>FURNACE_1</t>
  </si>
  <si>
    <t>hydgn</t>
  </si>
  <si>
    <t>DISTILLATION_1</t>
  </si>
  <si>
    <t>FURNACE_3</t>
  </si>
  <si>
    <t>PUMP1</t>
  </si>
  <si>
    <t>DISTILLATION_2</t>
  </si>
  <si>
    <t>Purchase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</si>
</sst>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Nirmala UI"/>
      <family val="2"/>
    </font>
    <font>
      <sz val="11"/>
      <color theme="1"/>
      <name val="Nirmala UI"/>
      <family val="2"/>
    </font>
    <font>
      <b/>
      <sz val="11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44" fontId="2" fillId="0" borderId="1" xfId="1" applyFont="1" applyBorder="1" applyAlignment="1">
      <alignment horizontal="center" vertical="top"/>
    </xf>
    <xf numFmtId="2" fontId="3" fillId="0" borderId="1" xfId="0" applyNumberFormat="1" applyFont="1" applyBorder="1"/>
    <xf numFmtId="0" fontId="3" fillId="0" borderId="1" xfId="0" applyFont="1" applyBorder="1"/>
    <xf numFmtId="44" fontId="3" fillId="0" borderId="1" xfId="1" applyFont="1" applyBorder="1"/>
    <xf numFmtId="44" fontId="4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topLeftCell="A6" zoomScale="130" zoomScaleNormal="130" workbookViewId="0">
      <selection activeCell="G27" sqref="G27"/>
    </sheetView>
  </sheetViews>
  <sheetFormatPr defaultRowHeight="14.25" x14ac:dyDescent="0.45"/>
  <cols>
    <col min="1" max="1" width="14.06640625" bestFit="1" customWidth="1"/>
    <col min="2" max="3" width="16.46484375" style="1" bestFit="1" customWidth="1"/>
    <col min="4" max="4" width="9.1328125" style="2" bestFit="1" customWidth="1"/>
    <col min="7" max="7" width="15" bestFit="1" customWidth="1"/>
  </cols>
  <sheetData>
    <row r="1" spans="1:4" ht="16.5" x14ac:dyDescent="0.6">
      <c r="A1" s="3" t="s">
        <v>0</v>
      </c>
      <c r="B1" s="4" t="s">
        <v>27</v>
      </c>
      <c r="C1" s="4" t="s">
        <v>1</v>
      </c>
      <c r="D1" s="5"/>
    </row>
    <row r="2" spans="1:4" ht="16.5" x14ac:dyDescent="0.6">
      <c r="A2" s="6" t="s">
        <v>13</v>
      </c>
      <c r="B2" s="7">
        <v>362176.17488470598</v>
      </c>
      <c r="C2" s="7">
        <v>778678.7760021179</v>
      </c>
      <c r="D2" s="5">
        <f>C2/B2</f>
        <v>2.15</v>
      </c>
    </row>
    <row r="3" spans="1:4" ht="16.5" x14ac:dyDescent="0.6">
      <c r="A3" s="6" t="s">
        <v>2</v>
      </c>
      <c r="B3" s="7">
        <v>317770.91285380791</v>
      </c>
      <c r="C3" s="7">
        <v>635541.82570761582</v>
      </c>
      <c r="D3" s="5">
        <f>C3/B3</f>
        <v>2</v>
      </c>
    </row>
    <row r="4" spans="1:4" ht="16.5" x14ac:dyDescent="0.6">
      <c r="A4" s="6" t="s">
        <v>18</v>
      </c>
      <c r="B4" s="7">
        <v>8186.5347027469061</v>
      </c>
      <c r="C4" s="7">
        <v>11546.763775811451</v>
      </c>
      <c r="D4" s="5">
        <f>C4/B4</f>
        <v>1.4104580503319744</v>
      </c>
    </row>
    <row r="5" spans="1:4" ht="16.5" x14ac:dyDescent="0.6">
      <c r="A5" s="6" t="s">
        <v>5</v>
      </c>
      <c r="B5" s="7">
        <v>30020.2344855382</v>
      </c>
      <c r="C5" s="7">
        <v>95633.81730313439</v>
      </c>
      <c r="D5" s="5">
        <f>C5/B5</f>
        <v>3.1856452470151275</v>
      </c>
    </row>
    <row r="6" spans="1:4" ht="16.5" x14ac:dyDescent="0.6">
      <c r="A6" s="6" t="s">
        <v>19</v>
      </c>
      <c r="B6" s="7">
        <v>6113.5127531592934</v>
      </c>
      <c r="C6" s="7">
        <v>8974.6101390015883</v>
      </c>
      <c r="D6" s="5">
        <f>C6/B6</f>
        <v>1.4679956518228836</v>
      </c>
    </row>
    <row r="7" spans="1:4" ht="16.5" x14ac:dyDescent="0.6">
      <c r="A7" s="6" t="s">
        <v>10</v>
      </c>
      <c r="B7" s="7">
        <v>29694.239709948961</v>
      </c>
      <c r="C7" s="7">
        <v>95339.330666018446</v>
      </c>
      <c r="D7" s="5">
        <f>C7/B7</f>
        <v>3.2107011864013244</v>
      </c>
    </row>
    <row r="8" spans="1:4" ht="16.5" x14ac:dyDescent="0.6">
      <c r="A8" s="6" t="s">
        <v>6</v>
      </c>
      <c r="B8" s="7">
        <v>4591.4533034187043</v>
      </c>
      <c r="C8" s="7">
        <v>6741.5705609561564</v>
      </c>
      <c r="D8" s="5">
        <f>C8/B8</f>
        <v>1.46828686157747</v>
      </c>
    </row>
    <row r="9" spans="1:4" ht="16.5" x14ac:dyDescent="0.6">
      <c r="A9" s="6" t="s">
        <v>17</v>
      </c>
      <c r="B9" s="7">
        <v>3709292.1014242368</v>
      </c>
      <c r="C9" s="7">
        <v>4587011.8340129554</v>
      </c>
      <c r="D9" s="5">
        <f>C9/B9</f>
        <v>1.2366272886008911</v>
      </c>
    </row>
    <row r="10" spans="1:4" ht="16.5" x14ac:dyDescent="0.6">
      <c r="A10" s="6" t="s">
        <v>23</v>
      </c>
      <c r="B10" s="7">
        <v>273870.88891185587</v>
      </c>
      <c r="C10" s="7">
        <v>955700.55777688732</v>
      </c>
      <c r="D10" s="5">
        <f>C10/B10</f>
        <v>3.4896025699338762</v>
      </c>
    </row>
    <row r="11" spans="1:4" ht="16.5" x14ac:dyDescent="0.6">
      <c r="A11" s="6" t="s">
        <v>26</v>
      </c>
      <c r="B11" s="7">
        <v>242027.68438543711</v>
      </c>
      <c r="C11" s="7">
        <v>891349.08537142084</v>
      </c>
      <c r="D11" s="5">
        <f>C11/B11</f>
        <v>3.6828393728376869</v>
      </c>
    </row>
    <row r="12" spans="1:4" ht="16.5" x14ac:dyDescent="0.6">
      <c r="A12" s="6" t="s">
        <v>4</v>
      </c>
      <c r="B12" s="7">
        <v>187405.04692157931</v>
      </c>
      <c r="C12" s="7">
        <v>657228.00205049524</v>
      </c>
      <c r="D12" s="5">
        <f>C12/B12</f>
        <v>3.5069920092681173</v>
      </c>
    </row>
    <row r="13" spans="1:4" ht="16.5" x14ac:dyDescent="0.6">
      <c r="A13" s="6" t="s">
        <v>11</v>
      </c>
      <c r="B13" s="7">
        <v>242844.7950109489</v>
      </c>
      <c r="C13" s="7">
        <v>725127.06908774271</v>
      </c>
      <c r="D13" s="5">
        <f>C13/B13</f>
        <v>2.9859691621352216</v>
      </c>
    </row>
    <row r="14" spans="1:4" ht="16.5" x14ac:dyDescent="0.6">
      <c r="A14" s="6" t="s">
        <v>7</v>
      </c>
      <c r="B14" s="7">
        <v>22051.211239255928</v>
      </c>
      <c r="C14" s="7">
        <v>58318.217641692427</v>
      </c>
      <c r="D14" s="5">
        <f>C14/B14</f>
        <v>2.6446718508538605</v>
      </c>
    </row>
    <row r="15" spans="1:4" ht="16.5" x14ac:dyDescent="0.6">
      <c r="A15" s="6" t="s">
        <v>20</v>
      </c>
      <c r="B15" s="7">
        <v>51451.607532363567</v>
      </c>
      <c r="C15" s="7">
        <v>169728.8139209979</v>
      </c>
      <c r="D15" s="5">
        <f>C15/B15</f>
        <v>3.2988048782389705</v>
      </c>
    </row>
    <row r="16" spans="1:4" ht="16.5" x14ac:dyDescent="0.6">
      <c r="A16" s="6" t="s">
        <v>21</v>
      </c>
      <c r="B16" s="7">
        <v>37927.649042661797</v>
      </c>
      <c r="C16" s="7">
        <v>113119.87325977891</v>
      </c>
      <c r="D16" s="5">
        <f>C16/B16</f>
        <v>2.9825174012905298</v>
      </c>
    </row>
    <row r="17" spans="1:7" ht="16.5" x14ac:dyDescent="0.6">
      <c r="A17" s="6" t="s">
        <v>9</v>
      </c>
      <c r="B17" s="7">
        <v>392423.7005569762</v>
      </c>
      <c r="C17" s="7">
        <v>859407.90421977791</v>
      </c>
      <c r="D17" s="5">
        <f>C17/B17</f>
        <v>2.19</v>
      </c>
    </row>
    <row r="18" spans="1:7" ht="16.5" x14ac:dyDescent="0.6">
      <c r="A18" s="6" t="s">
        <v>24</v>
      </c>
      <c r="B18" s="7">
        <v>242988.82697068469</v>
      </c>
      <c r="C18" s="7">
        <v>532145.53106579953</v>
      </c>
      <c r="D18" s="5">
        <f>C18/B18</f>
        <v>2.1900000000000004</v>
      </c>
    </row>
    <row r="19" spans="1:7" ht="16.5" x14ac:dyDescent="0.6">
      <c r="A19" s="6" t="s">
        <v>3</v>
      </c>
      <c r="B19" s="7">
        <v>9375016.3528315015</v>
      </c>
      <c r="C19" s="7">
        <v>9375016.3528315015</v>
      </c>
      <c r="D19" s="5">
        <f>C19/B19</f>
        <v>1</v>
      </c>
    </row>
    <row r="20" spans="1:7" ht="16.5" x14ac:dyDescent="0.6">
      <c r="A20" s="6" t="s">
        <v>22</v>
      </c>
      <c r="B20" s="7">
        <v>206631.3831473281</v>
      </c>
      <c r="C20" s="7">
        <v>358955.22302048933</v>
      </c>
      <c r="D20" s="5">
        <f>C20/B20</f>
        <v>1.7371766938449731</v>
      </c>
    </row>
    <row r="21" spans="1:7" ht="16.5" x14ac:dyDescent="0.6">
      <c r="A21" s="6" t="s">
        <v>14</v>
      </c>
      <c r="B21" s="7">
        <v>636673.61664540169</v>
      </c>
      <c r="C21" s="7">
        <v>852536.15940289828</v>
      </c>
      <c r="D21" s="5">
        <f>C21/B21</f>
        <v>1.3390474131704475</v>
      </c>
    </row>
    <row r="22" spans="1:7" ht="16.5" x14ac:dyDescent="0.6">
      <c r="A22" s="6" t="s">
        <v>25</v>
      </c>
      <c r="B22" s="7">
        <v>10706.50309601446</v>
      </c>
      <c r="C22" s="7">
        <v>27856.23738746384</v>
      </c>
      <c r="D22" s="5">
        <f>C22/B22</f>
        <v>2.6018053829203525</v>
      </c>
    </row>
    <row r="23" spans="1:7" ht="16.5" x14ac:dyDescent="0.6">
      <c r="A23" s="6" t="s">
        <v>8</v>
      </c>
      <c r="B23" s="7">
        <v>80356.953576354761</v>
      </c>
      <c r="C23" s="7">
        <v>80356.953576354761</v>
      </c>
      <c r="D23" s="5">
        <f>C23/B23</f>
        <v>1</v>
      </c>
    </row>
    <row r="24" spans="1:7" ht="16.5" x14ac:dyDescent="0.6">
      <c r="A24" s="6" t="s">
        <v>15</v>
      </c>
      <c r="B24" s="7">
        <v>682384.64690777345</v>
      </c>
      <c r="C24" s="7">
        <v>682384.64690777345</v>
      </c>
      <c r="D24" s="5">
        <f>C24/B24</f>
        <v>1</v>
      </c>
    </row>
    <row r="25" spans="1:7" ht="16.5" x14ac:dyDescent="0.6">
      <c r="A25" s="6" t="s">
        <v>12</v>
      </c>
      <c r="B25" s="7">
        <v>977964.0251020384</v>
      </c>
      <c r="C25" s="7">
        <v>977964.0251020384</v>
      </c>
      <c r="D25" s="5">
        <f>C25/B25</f>
        <v>1</v>
      </c>
    </row>
    <row r="26" spans="1:7" ht="16.5" x14ac:dyDescent="0.6">
      <c r="A26" s="6" t="s">
        <v>16</v>
      </c>
      <c r="B26" s="7">
        <v>1375786.2235290101</v>
      </c>
      <c r="C26" s="7">
        <v>1375786.2235290101</v>
      </c>
      <c r="D26" s="5">
        <f>C26/B26</f>
        <v>1</v>
      </c>
    </row>
    <row r="27" spans="1:7" ht="16.5" x14ac:dyDescent="0.6">
      <c r="A27" s="6"/>
      <c r="B27" s="8">
        <f>SUM(B2:B26)</f>
        <v>19506356.279524747</v>
      </c>
      <c r="C27" s="8">
        <f>SUM(C2:C26)</f>
        <v>24912449.404319737</v>
      </c>
      <c r="D27" s="5">
        <f>AVERAGE(D2:D26)</f>
        <v>2.1511656408097481</v>
      </c>
      <c r="G2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Wadgama, Hafi</cp:lastModifiedBy>
  <dcterms:created xsi:type="dcterms:W3CDTF">2025-10-31T19:24:05Z</dcterms:created>
  <dcterms:modified xsi:type="dcterms:W3CDTF">2025-10-31T19:35:26Z</dcterms:modified>
</cp:coreProperties>
</file>