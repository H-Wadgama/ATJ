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atj_saf/atj_bst/"/>
    </mc:Choice>
  </mc:AlternateContent>
  <xr:revisionPtr revIDLastSave="248" documentId="11_2B59D2BFD380D4CF2A7C00905C3268714C95EC5E" xr6:coauthVersionLast="47" xr6:coauthVersionMax="47" xr10:uidLastSave="{DDF44F91-9D1D-6649-ACB2-75A2FB7345CE}"/>
  <bookViews>
    <workbookView xWindow="29400" yWindow="500" windowWidth="38400" windowHeight="21100" xr2:uid="{00000000-000D-0000-FFFF-FFFF00000000}"/>
  </bookViews>
  <sheets>
    <sheet name="Sheet1" sheetId="1" r:id="rId1"/>
    <sheet name="Pears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7" i="1"/>
</calcChain>
</file>

<file path=xl/sharedStrings.xml><?xml version="1.0" encoding="utf-8"?>
<sst xmlns="http://schemas.openxmlformats.org/spreadsheetml/2006/main" count="158" uniqueCount="61">
  <si>
    <t>Minimum jet selling price [USD/gal]</t>
  </si>
  <si>
    <t>Parameter</t>
  </si>
  <si>
    <t>Dehydration pressure [Pa]</t>
  </si>
  <si>
    <t>Dehydration temperature [K]</t>
  </si>
  <si>
    <t>Dehydration WHSV [/h]</t>
  </si>
  <si>
    <t>Dehydration catalyst price [USD/kg]</t>
  </si>
  <si>
    <t>Dehydration catalyst lifetime [yr]</t>
  </si>
  <si>
    <t>Oligomerization pressure [Pa]</t>
  </si>
  <si>
    <t>Oliomerization temperature [K]</t>
  </si>
  <si>
    <t>Oligomerization WHSV [/h]</t>
  </si>
  <si>
    <t>Oligomerization conversion [%]</t>
  </si>
  <si>
    <t>Oligomerization catalyst [USD/kg]</t>
  </si>
  <si>
    <t>Oligomerization catalyst lifetime [yr]</t>
  </si>
  <si>
    <t>Hydrogenation catalyst price [USD/kg]</t>
  </si>
  <si>
    <t>Hydrogenation catalyst lifetime [yr]</t>
  </si>
  <si>
    <t>Maintenance [USD/yr]</t>
  </si>
  <si>
    <t>Property insurance [USD/yr]</t>
  </si>
  <si>
    <t>Labor burden [USD/yr]</t>
  </si>
  <si>
    <t>Labor cost [USD/yr]</t>
  </si>
  <si>
    <t>Other indirect costs [USD/yr]</t>
  </si>
  <si>
    <t>Contingency [USD/yr]</t>
  </si>
  <si>
    <t>Construction [USD/yr]</t>
  </si>
  <si>
    <t>Field expenses [USD/yr]</t>
  </si>
  <si>
    <t>Proratable costs [USD/yr]</t>
  </si>
  <si>
    <t>Additional piping costs [USD/yr]</t>
  </si>
  <si>
    <t>Site development costs [USD/yr]</t>
  </si>
  <si>
    <t>Warehouse costs [USD/yr]</t>
  </si>
  <si>
    <t>Finance fraction [USD/yr]</t>
  </si>
  <si>
    <t>Finance interest [USD/yr]</t>
  </si>
  <si>
    <t>Working capital over FCI [USD/yr]</t>
  </si>
  <si>
    <t>Startup VOC fraction [USD/yr]</t>
  </si>
  <si>
    <t>Startup sales fraction [USD/yr]</t>
  </si>
  <si>
    <t>Startup FOC fraction [USD/yr]</t>
  </si>
  <si>
    <t>Startup months [USD/yr]</t>
  </si>
  <si>
    <t>Income tax [USD/yr]</t>
  </si>
  <si>
    <t>Operating days [USD]</t>
  </si>
  <si>
    <t>Chilled brine price [USD/kJ]</t>
  </si>
  <si>
    <t>Chilled water price [USD/kJ]</t>
  </si>
  <si>
    <t>Cooling water price [USD/kJ]</t>
  </si>
  <si>
    <t>HP steam price [USD/kmol]</t>
  </si>
  <si>
    <t>MP steam price [USD/kmol]</t>
  </si>
  <si>
    <t>LP steam price [USD/kmol]</t>
  </si>
  <si>
    <t>Natural gas price [USD/kmol]</t>
  </si>
  <si>
    <t>Electricity price [USD/kWh]</t>
  </si>
  <si>
    <t>Feedstock price [USD/kg]</t>
  </si>
  <si>
    <t>Hydrogen price [USD/kg]</t>
  </si>
  <si>
    <t>Renewable diesel price [USD/kg]</t>
  </si>
  <si>
    <t>Renewable naphtha price [USD/kg]</t>
  </si>
  <si>
    <t>Pearson (3000)</t>
  </si>
  <si>
    <t>Pearson (5000</t>
  </si>
  <si>
    <t>3000 simulations</t>
  </si>
  <si>
    <t xml:space="preserve">Pearson </t>
  </si>
  <si>
    <t xml:space="preserve">Spearman </t>
  </si>
  <si>
    <t>Spearman</t>
  </si>
  <si>
    <t>10,000 simulations</t>
  </si>
  <si>
    <t>5000 simulations</t>
  </si>
  <si>
    <t xml:space="preserve">Global sensitivity </t>
  </si>
  <si>
    <t>Gray values indicate parameters that can either be positively or negatively correlated, green must be positively correlated and red must be negatively correlated.</t>
  </si>
  <si>
    <t>Difference</t>
  </si>
  <si>
    <t>`</t>
  </si>
  <si>
    <t>Pearson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</si>
</sst>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Nirmala UI"/>
      <family val="2"/>
    </font>
    <font>
      <b/>
      <sz val="11"/>
      <name val="Nirmala UI"/>
      <family val="2"/>
    </font>
    <font>
      <sz val="11"/>
      <name val="Nirmala UI"/>
      <family val="2"/>
    </font>
    <font>
      <b/>
      <sz val="24"/>
      <color theme="0"/>
      <name val="Garamond"/>
      <family val="1"/>
    </font>
    <font>
      <sz val="11"/>
      <color theme="0"/>
      <name val="Nirmala UI"/>
      <family val="2"/>
    </font>
    <font>
      <b/>
      <sz val="11"/>
      <color theme="0"/>
      <name val="Nirmala UI"/>
      <family val="2"/>
    </font>
    <font>
      <b/>
      <sz val="11"/>
      <color theme="1"/>
      <name val="Nirmala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4" fillId="3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top"/>
    </xf>
    <xf numFmtId="0" fontId="6" fillId="6" borderId="0" xfId="0" applyFont="1" applyFill="1"/>
    <xf numFmtId="0" fontId="2" fillId="0" borderId="0" xfId="0" applyFont="1" applyAlignment="1">
      <alignment horizontal="left"/>
    </xf>
    <xf numFmtId="164" fontId="8" fillId="0" borderId="0" xfId="0" applyNumberFormat="1" applyFont="1"/>
    <xf numFmtId="164" fontId="2" fillId="7" borderId="0" xfId="0" applyNumberFormat="1" applyFont="1" applyFill="1"/>
    <xf numFmtId="0" fontId="6" fillId="6" borderId="0" xfId="0" applyFont="1" applyFill="1" applyAlignment="1">
      <alignment horizontal="center" vertical="top"/>
    </xf>
    <xf numFmtId="0" fontId="7" fillId="6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1A2B9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zoomScale="137" zoomScaleNormal="115" workbookViewId="0">
      <selection activeCell="B7" sqref="B7"/>
    </sheetView>
  </sheetViews>
  <sheetFormatPr baseColWidth="10" defaultColWidth="9" defaultRowHeight="15" x14ac:dyDescent="0.2"/>
  <cols>
    <col min="1" max="1" width="45.6640625" customWidth="1"/>
    <col min="2" max="2" width="21.33203125" customWidth="1"/>
    <col min="3" max="4" width="16" customWidth="1"/>
    <col min="5" max="5" width="17.83203125" customWidth="1"/>
    <col min="6" max="7" width="14.5" customWidth="1"/>
    <col min="8" max="8" width="18.83203125" customWidth="1"/>
    <col min="9" max="9" width="18.5" customWidth="1"/>
  </cols>
  <sheetData>
    <row r="1" spans="1:9" ht="31" x14ac:dyDescent="0.35">
      <c r="A1" s="9" t="s">
        <v>56</v>
      </c>
      <c r="B1" s="3"/>
      <c r="C1" s="4"/>
      <c r="D1" s="4"/>
      <c r="E1" s="3"/>
      <c r="F1" s="3"/>
      <c r="G1" s="3"/>
      <c r="H1" s="3"/>
      <c r="I1" s="3"/>
    </row>
    <row r="2" spans="1:9" ht="16" x14ac:dyDescent="0.25">
      <c r="A2" s="12" t="s">
        <v>57</v>
      </c>
      <c r="B2" s="3"/>
      <c r="C2" s="4"/>
      <c r="D2" s="4"/>
      <c r="E2" s="3"/>
      <c r="F2" s="3"/>
      <c r="G2" s="3"/>
      <c r="H2" s="3"/>
      <c r="I2" s="3"/>
    </row>
    <row r="3" spans="1:9" ht="16" x14ac:dyDescent="0.25">
      <c r="A3" s="12"/>
      <c r="B3" s="3"/>
      <c r="C3" s="4"/>
      <c r="D3" s="4"/>
      <c r="E3" s="3"/>
      <c r="F3" s="3"/>
      <c r="G3" s="3"/>
      <c r="H3" s="3"/>
      <c r="I3" s="3"/>
    </row>
    <row r="4" spans="1:9" ht="16" x14ac:dyDescent="0.2">
      <c r="A4" s="10"/>
      <c r="B4" s="16" t="s">
        <v>0</v>
      </c>
      <c r="C4" s="16"/>
      <c r="D4" s="16"/>
      <c r="E4" s="16"/>
      <c r="F4" s="16"/>
      <c r="G4" s="16"/>
      <c r="H4" s="16"/>
      <c r="I4" s="16"/>
    </row>
    <row r="5" spans="1:9" ht="16" x14ac:dyDescent="0.2">
      <c r="A5" s="10"/>
      <c r="B5" s="15" t="s">
        <v>50</v>
      </c>
      <c r="C5" s="15"/>
      <c r="D5" s="10"/>
      <c r="E5" s="15" t="s">
        <v>55</v>
      </c>
      <c r="F5" s="15"/>
      <c r="G5" s="10"/>
      <c r="H5" s="15" t="s">
        <v>54</v>
      </c>
      <c r="I5" s="15"/>
    </row>
    <row r="6" spans="1:9" ht="16" x14ac:dyDescent="0.25">
      <c r="A6" s="10" t="s">
        <v>1</v>
      </c>
      <c r="B6" s="11" t="s">
        <v>51</v>
      </c>
      <c r="C6" s="11" t="s">
        <v>52</v>
      </c>
      <c r="D6" s="11" t="s">
        <v>58</v>
      </c>
      <c r="E6" s="11" t="s">
        <v>51</v>
      </c>
      <c r="F6" s="11" t="s">
        <v>53</v>
      </c>
      <c r="G6" s="11" t="s">
        <v>58</v>
      </c>
      <c r="H6" s="11" t="s">
        <v>60</v>
      </c>
      <c r="I6" s="11" t="s">
        <v>53</v>
      </c>
    </row>
    <row r="7" spans="1:9" ht="16" x14ac:dyDescent="0.25">
      <c r="A7" s="6" t="s">
        <v>2</v>
      </c>
      <c r="B7" s="5">
        <v>-5.6605697869419724E-3</v>
      </c>
      <c r="C7" s="5">
        <v>-7.7586546398505157E-3</v>
      </c>
      <c r="D7" s="5">
        <f>ABS(B7)-ABS(C7)</f>
        <v>-2.0980848529085433E-3</v>
      </c>
      <c r="E7" s="5">
        <v>-3.7140377479983849E-3</v>
      </c>
      <c r="F7" s="5">
        <v>-1.8935068597402741E-3</v>
      </c>
      <c r="G7" s="5">
        <f>ABS(E7)-ABS(F7)</f>
        <v>1.8205308882581108E-3</v>
      </c>
      <c r="H7" s="5">
        <v>-7.9659073262251731E-3</v>
      </c>
      <c r="I7" s="5">
        <v>-8.5850331618503323E-3</v>
      </c>
    </row>
    <row r="8" spans="1:9" ht="16" x14ac:dyDescent="0.25">
      <c r="A8" s="6" t="s">
        <v>3</v>
      </c>
      <c r="B8" s="5">
        <v>2.1702367025812169E-2</v>
      </c>
      <c r="C8" s="5">
        <v>1.98216413135157E-2</v>
      </c>
      <c r="D8" s="5">
        <f t="shared" ref="D8:D52" si="0">ABS(B8)-ABS(C8)</f>
        <v>1.8807257122964681E-3</v>
      </c>
      <c r="E8" s="5">
        <v>-1.3563661210861271E-2</v>
      </c>
      <c r="F8" s="5">
        <v>-1.5630082993203311E-2</v>
      </c>
      <c r="G8" s="5">
        <f t="shared" ref="G8:G52" si="1">ABS(E8)-ABS(F8)</f>
        <v>-2.0664217823420407E-3</v>
      </c>
      <c r="H8" s="5">
        <v>-1.4109061902639769E-2</v>
      </c>
      <c r="I8" s="5">
        <v>-1.138796476187965E-2</v>
      </c>
    </row>
    <row r="9" spans="1:9" ht="16" x14ac:dyDescent="0.25">
      <c r="A9" s="7" t="s">
        <v>4</v>
      </c>
      <c r="B9" s="5">
        <v>-2.552058084792285E-3</v>
      </c>
      <c r="C9" s="5">
        <v>-2.5419642824404749E-3</v>
      </c>
      <c r="D9" s="5">
        <f t="shared" si="0"/>
        <v>1.0093802351810073E-5</v>
      </c>
      <c r="E9" s="5">
        <v>-1.363276452956081E-2</v>
      </c>
      <c r="F9" s="5">
        <v>-1.2933425413337011E-2</v>
      </c>
      <c r="G9" s="5">
        <f t="shared" si="1"/>
        <v>6.9933911622379989E-4</v>
      </c>
      <c r="H9" s="5">
        <v>-6.0587610013975411E-3</v>
      </c>
      <c r="I9" s="5">
        <v>-4.8699311526993107E-3</v>
      </c>
    </row>
    <row r="10" spans="1:9" ht="16" x14ac:dyDescent="0.25">
      <c r="A10" s="8" t="s">
        <v>5</v>
      </c>
      <c r="B10" s="5">
        <v>6.2106232555010701E-3</v>
      </c>
      <c r="C10" s="5">
        <v>5.3017121446346819E-3</v>
      </c>
      <c r="D10" s="5">
        <f t="shared" si="0"/>
        <v>9.0891111086638821E-4</v>
      </c>
      <c r="E10" s="5">
        <v>2.504090322349484E-2</v>
      </c>
      <c r="F10" s="5">
        <v>2.4216880424675211E-2</v>
      </c>
      <c r="G10" s="5">
        <f t="shared" si="1"/>
        <v>8.2402279881962914E-4</v>
      </c>
      <c r="H10" s="5">
        <v>1.450656853933832E-2</v>
      </c>
      <c r="I10" s="5">
        <v>1.277899211578992E-2</v>
      </c>
    </row>
    <row r="11" spans="1:9" ht="16" x14ac:dyDescent="0.25">
      <c r="A11" s="7" t="s">
        <v>6</v>
      </c>
      <c r="B11" s="5">
        <v>-1.497674424787405E-2</v>
      </c>
      <c r="C11" s="5">
        <v>-1.1454923050546999E-2</v>
      </c>
      <c r="D11" s="5">
        <f t="shared" si="0"/>
        <v>3.5218211973270502E-3</v>
      </c>
      <c r="E11" s="13">
        <v>1.3814880114107621E-2</v>
      </c>
      <c r="F11" s="13">
        <v>6.7602600784104029E-3</v>
      </c>
      <c r="G11" s="5">
        <f t="shared" si="1"/>
        <v>7.0546200356972179E-3</v>
      </c>
      <c r="H11" s="13">
        <v>8.8061149334906653E-3</v>
      </c>
      <c r="I11" s="13">
        <v>5.9113489791134902E-3</v>
      </c>
    </row>
    <row r="12" spans="1:9" ht="16" x14ac:dyDescent="0.25">
      <c r="A12" s="6" t="s">
        <v>7</v>
      </c>
      <c r="B12" s="5">
        <v>3.6610972012434698E-2</v>
      </c>
      <c r="C12" s="5">
        <v>3.5585257731695297E-2</v>
      </c>
      <c r="D12" s="5">
        <f t="shared" si="0"/>
        <v>1.025714280739401E-3</v>
      </c>
      <c r="E12" s="5">
        <v>-4.4991357719651077E-3</v>
      </c>
      <c r="F12" s="5">
        <v>-1.534513693380548E-3</v>
      </c>
      <c r="G12" s="5">
        <f t="shared" si="1"/>
        <v>2.96462207858456E-3</v>
      </c>
      <c r="H12" s="5">
        <v>3.0203889141229342E-3</v>
      </c>
      <c r="I12" s="5">
        <v>2.763496707634967E-3</v>
      </c>
    </row>
    <row r="13" spans="1:9" ht="16" x14ac:dyDescent="0.25">
      <c r="A13" s="6" t="s">
        <v>8</v>
      </c>
      <c r="B13" s="5">
        <v>3.7031760118444099E-3</v>
      </c>
      <c r="C13" s="5">
        <v>1.3732868636985401E-2</v>
      </c>
      <c r="D13" s="5" t="s">
        <v>59</v>
      </c>
      <c r="E13" s="5">
        <v>6.5996531134725599E-3</v>
      </c>
      <c r="F13" s="5">
        <v>4.085337859413514E-3</v>
      </c>
      <c r="G13" s="5">
        <f t="shared" si="1"/>
        <v>2.514315254059046E-3</v>
      </c>
      <c r="H13" s="5">
        <v>1.2018300630389811E-2</v>
      </c>
      <c r="I13" s="5">
        <v>1.265229593452296E-2</v>
      </c>
    </row>
    <row r="14" spans="1:9" ht="16" x14ac:dyDescent="0.25">
      <c r="A14" s="7" t="s">
        <v>9</v>
      </c>
      <c r="B14" s="5">
        <v>-3.9814419149849539E-2</v>
      </c>
      <c r="C14" s="5">
        <v>-4.2250722916747002E-2</v>
      </c>
      <c r="D14" s="5">
        <f t="shared" si="0"/>
        <v>-2.436303766897463E-3</v>
      </c>
      <c r="E14" s="13">
        <v>5.2301100000523596E-3</v>
      </c>
      <c r="F14" s="13">
        <v>7.9667393586695719E-3</v>
      </c>
      <c r="G14" s="5">
        <f t="shared" si="1"/>
        <v>-2.7366293586172123E-3</v>
      </c>
      <c r="H14" s="13">
        <v>5.8838721932306416E-3</v>
      </c>
      <c r="I14" s="13">
        <v>5.9443206114432063E-3</v>
      </c>
    </row>
    <row r="15" spans="1:9" ht="16" x14ac:dyDescent="0.25">
      <c r="A15" s="8" t="s">
        <v>10</v>
      </c>
      <c r="B15" s="5">
        <v>4.7525000244051756E-3</v>
      </c>
      <c r="C15" s="5">
        <v>1.660497962277551E-3</v>
      </c>
      <c r="D15" s="5">
        <f t="shared" si="0"/>
        <v>3.0920020621276246E-3</v>
      </c>
      <c r="E15" s="5">
        <v>1.318698113649038E-2</v>
      </c>
      <c r="F15" s="5">
        <v>1.6932763397310539E-2</v>
      </c>
      <c r="G15" s="5">
        <f t="shared" si="1"/>
        <v>-3.7457822608201585E-3</v>
      </c>
      <c r="H15" s="5">
        <v>1.669190500796482E-2</v>
      </c>
      <c r="I15" s="5">
        <v>9.9612157716121585E-3</v>
      </c>
    </row>
    <row r="16" spans="1:9" ht="16" x14ac:dyDescent="0.25">
      <c r="A16" s="8" t="s">
        <v>11</v>
      </c>
      <c r="B16" s="5">
        <v>4.2810965537196932E-3</v>
      </c>
      <c r="C16" s="5">
        <v>2.5627460625273399E-3</v>
      </c>
      <c r="D16" s="5">
        <f t="shared" si="0"/>
        <v>1.7183504911923533E-3</v>
      </c>
      <c r="E16" s="5">
        <v>8.8874453891439904E-3</v>
      </c>
      <c r="F16" s="5">
        <v>8.5226610769064438E-3</v>
      </c>
      <c r="G16" s="5">
        <f t="shared" si="1"/>
        <v>3.6478431223754652E-4</v>
      </c>
      <c r="H16" s="5">
        <v>1.036946529199784E-2</v>
      </c>
      <c r="I16" s="5">
        <v>1.1674961096749609E-2</v>
      </c>
    </row>
    <row r="17" spans="1:9" ht="16" x14ac:dyDescent="0.25">
      <c r="A17" s="7" t="s">
        <v>12</v>
      </c>
      <c r="B17" s="5">
        <v>-6.3506921252758433E-3</v>
      </c>
      <c r="C17" s="5">
        <v>-6.0194188910465416E-3</v>
      </c>
      <c r="D17" s="5">
        <f t="shared" si="0"/>
        <v>3.3127323422930174E-4</v>
      </c>
      <c r="E17" s="5">
        <v>1.530639158622088E-2</v>
      </c>
      <c r="F17" s="5">
        <v>1.7490425211617009E-2</v>
      </c>
      <c r="G17" s="5">
        <f t="shared" si="1"/>
        <v>-2.1840336253961291E-3</v>
      </c>
      <c r="H17" s="5">
        <v>9.782078344050156E-4</v>
      </c>
      <c r="I17" s="5">
        <v>2.1318723813187239E-4</v>
      </c>
    </row>
    <row r="18" spans="1:9" ht="16" x14ac:dyDescent="0.25">
      <c r="A18" s="8" t="s">
        <v>13</v>
      </c>
      <c r="B18" s="13">
        <v>-5.732694092694772E-3</v>
      </c>
      <c r="C18" s="13">
        <v>-2.2712109190234351E-3</v>
      </c>
      <c r="D18" s="5">
        <f t="shared" si="0"/>
        <v>3.4614831736713369E-3</v>
      </c>
      <c r="E18" s="5">
        <v>1.6459856273734981E-2</v>
      </c>
      <c r="F18" s="5">
        <v>1.9825368793014751E-2</v>
      </c>
      <c r="G18" s="5">
        <f t="shared" si="1"/>
        <v>-3.3655125192797695E-3</v>
      </c>
      <c r="H18" s="5">
        <v>4.3570525257540316E-3</v>
      </c>
      <c r="I18" s="5">
        <v>3.3562724255627239E-3</v>
      </c>
    </row>
    <row r="19" spans="1:9" ht="16" x14ac:dyDescent="0.25">
      <c r="A19" s="7" t="s">
        <v>14</v>
      </c>
      <c r="B19" s="5">
        <v>1.7530294798209799E-2</v>
      </c>
      <c r="C19" s="5">
        <v>1.6593019177002129E-2</v>
      </c>
      <c r="D19" s="5">
        <f t="shared" si="0"/>
        <v>9.3727562120766994E-4</v>
      </c>
      <c r="E19" s="5">
        <v>3.2211010056792532E-3</v>
      </c>
      <c r="F19" s="5">
        <v>-2.5364252214570078E-3</v>
      </c>
      <c r="G19" s="5">
        <f t="shared" si="1"/>
        <v>6.8467578422224534E-4</v>
      </c>
      <c r="H19" s="5">
        <v>-6.979418309608772E-3</v>
      </c>
      <c r="I19" s="5">
        <v>-7.1086725710867264E-3</v>
      </c>
    </row>
    <row r="20" spans="1:9" ht="16" x14ac:dyDescent="0.25">
      <c r="A20" s="8" t="s">
        <v>15</v>
      </c>
      <c r="B20" s="5">
        <v>1.1891952729071269E-2</v>
      </c>
      <c r="C20" s="5">
        <v>1.375898552877617E-2</v>
      </c>
      <c r="D20" s="5">
        <f t="shared" si="0"/>
        <v>-1.8670327997049006E-3</v>
      </c>
      <c r="E20" s="13">
        <v>-1.280002685234132E-2</v>
      </c>
      <c r="F20" s="13">
        <v>-1.287791168311647E-2</v>
      </c>
      <c r="G20" s="5">
        <f t="shared" si="1"/>
        <v>-7.7884830775150349E-5</v>
      </c>
      <c r="H20" s="5">
        <v>1.6144937380168051E-3</v>
      </c>
      <c r="I20" s="5">
        <v>3.0756233467562331E-3</v>
      </c>
    </row>
    <row r="21" spans="1:9" ht="16" x14ac:dyDescent="0.25">
      <c r="A21" s="8" t="s">
        <v>16</v>
      </c>
      <c r="B21" s="13">
        <v>-2.5657950420819989E-2</v>
      </c>
      <c r="C21" s="13">
        <v>-2.5021654335739361E-2</v>
      </c>
      <c r="D21" s="5">
        <f t="shared" si="0"/>
        <v>6.3629608508062804E-4</v>
      </c>
      <c r="E21" s="5">
        <v>1.1387022844160559E-2</v>
      </c>
      <c r="F21" s="5">
        <v>9.2130750565229992E-3</v>
      </c>
      <c r="G21" s="5">
        <f t="shared" si="1"/>
        <v>2.1739477876375601E-3</v>
      </c>
      <c r="H21" s="5">
        <v>3.7567078324048878E-3</v>
      </c>
      <c r="I21" s="5">
        <v>5.1706116157061166E-3</v>
      </c>
    </row>
    <row r="22" spans="1:9" ht="16" x14ac:dyDescent="0.25">
      <c r="A22" s="8" t="s">
        <v>17</v>
      </c>
      <c r="B22" s="5">
        <v>1.0088343692209239E-2</v>
      </c>
      <c r="C22" s="5">
        <v>-3.0107296678588509E-3</v>
      </c>
      <c r="D22" s="5">
        <f t="shared" si="0"/>
        <v>7.0776140243503883E-3</v>
      </c>
      <c r="E22" s="5">
        <v>1.022956822867792E-2</v>
      </c>
      <c r="F22" s="5">
        <v>8.495036979801477E-3</v>
      </c>
      <c r="G22" s="5">
        <f t="shared" si="1"/>
        <v>1.734531248876443E-3</v>
      </c>
      <c r="H22" s="5">
        <v>3.3612134724108893E-2</v>
      </c>
      <c r="I22" s="5">
        <v>3.4134842909348428E-2</v>
      </c>
    </row>
    <row r="23" spans="1:9" ht="16" x14ac:dyDescent="0.25">
      <c r="A23" s="8" t="s">
        <v>18</v>
      </c>
      <c r="B23" s="5">
        <v>3.3668589547357353E-2</v>
      </c>
      <c r="C23" s="5">
        <v>3.1601607511289723E-2</v>
      </c>
      <c r="D23" s="5">
        <f t="shared" si="0"/>
        <v>2.06698203606763E-3</v>
      </c>
      <c r="E23" s="5">
        <v>3.4326531628288547E-2</v>
      </c>
      <c r="F23" s="5">
        <v>3.1985227999409123E-2</v>
      </c>
      <c r="G23" s="5">
        <f t="shared" si="1"/>
        <v>2.3413036288794237E-3</v>
      </c>
      <c r="H23" s="5">
        <v>2.9486055843769999E-2</v>
      </c>
      <c r="I23" s="5">
        <v>2.4779725711797259E-2</v>
      </c>
    </row>
    <row r="24" spans="1:9" ht="16" x14ac:dyDescent="0.25">
      <c r="A24" s="8" t="s">
        <v>19</v>
      </c>
      <c r="B24" s="5">
        <v>5.2719288492934016E-3</v>
      </c>
      <c r="C24" s="5">
        <v>9.2960032551114725E-3</v>
      </c>
      <c r="D24" s="5">
        <f t="shared" si="0"/>
        <v>-4.0240744058180709E-3</v>
      </c>
      <c r="E24" s="5">
        <v>2.6390120624583509E-2</v>
      </c>
      <c r="F24" s="5">
        <v>1.8868050706722019E-2</v>
      </c>
      <c r="G24" s="5">
        <f t="shared" si="1"/>
        <v>7.522069917861491E-3</v>
      </c>
      <c r="H24" s="13">
        <v>-4.6706414768152224E-3</v>
      </c>
      <c r="I24" s="13">
        <v>-4.2925602789256031E-3</v>
      </c>
    </row>
    <row r="25" spans="1:9" ht="16" x14ac:dyDescent="0.25">
      <c r="A25" s="8" t="s">
        <v>20</v>
      </c>
      <c r="B25" s="5">
        <v>1.3500301630757539E-2</v>
      </c>
      <c r="C25" s="5">
        <v>1.4774470974941219E-2</v>
      </c>
      <c r="D25" s="5">
        <f t="shared" si="0"/>
        <v>-1.2741693441836802E-3</v>
      </c>
      <c r="E25" s="5">
        <v>6.3752389022679063E-3</v>
      </c>
      <c r="F25" s="5">
        <v>8.1738057029522269E-3</v>
      </c>
      <c r="G25" s="5">
        <f t="shared" si="1"/>
        <v>-1.7985668006843206E-3</v>
      </c>
      <c r="H25" s="5">
        <v>1.195053209015148E-2</v>
      </c>
      <c r="I25" s="5">
        <v>1.4374357379743571E-2</v>
      </c>
    </row>
    <row r="26" spans="1:9" ht="16" x14ac:dyDescent="0.25">
      <c r="A26" s="8" t="s">
        <v>21</v>
      </c>
      <c r="B26" s="5">
        <v>7.1991204585296672E-3</v>
      </c>
      <c r="C26" s="5">
        <v>6.6779736308859574E-3</v>
      </c>
      <c r="D26" s="5">
        <f t="shared" si="0"/>
        <v>5.2114682764370975E-4</v>
      </c>
      <c r="E26" s="5">
        <v>1.183825501261301E-2</v>
      </c>
      <c r="F26" s="5">
        <v>1.4541725093669E-2</v>
      </c>
      <c r="G26" s="5">
        <f t="shared" si="1"/>
        <v>-2.7034700810559895E-3</v>
      </c>
      <c r="H26" s="5">
        <v>1.344024855803639E-2</v>
      </c>
      <c r="I26" s="5">
        <v>1.7143838103438381E-2</v>
      </c>
    </row>
    <row r="27" spans="1:9" ht="16" x14ac:dyDescent="0.25">
      <c r="A27" s="8" t="s">
        <v>22</v>
      </c>
      <c r="B27" s="13">
        <v>-1.8346219488614209E-2</v>
      </c>
      <c r="C27" s="13">
        <v>-1.9539303948811551E-2</v>
      </c>
      <c r="D27" s="5">
        <f t="shared" si="0"/>
        <v>-1.1930844601973425E-3</v>
      </c>
      <c r="E27" s="5">
        <v>-7.5027737919340946E-3</v>
      </c>
      <c r="F27" s="5">
        <v>-3.1589306223572251E-3</v>
      </c>
      <c r="G27" s="5">
        <f t="shared" si="1"/>
        <v>4.3438431695768699E-3</v>
      </c>
      <c r="H27" s="5">
        <v>2.7012652516933142E-3</v>
      </c>
      <c r="I27" s="5">
        <v>2.8063793200637931E-3</v>
      </c>
    </row>
    <row r="28" spans="1:9" ht="16" x14ac:dyDescent="0.25">
      <c r="A28" s="8" t="s">
        <v>23</v>
      </c>
      <c r="B28" s="13">
        <v>-1.034838921628487E-2</v>
      </c>
      <c r="C28" s="13">
        <v>-1.446531582947953E-2</v>
      </c>
      <c r="D28" s="5">
        <f t="shared" si="0"/>
        <v>-4.1169266131946599E-3</v>
      </c>
      <c r="E28" s="5">
        <v>2.7673489011600071E-2</v>
      </c>
      <c r="F28" s="5">
        <v>2.3895456763818261E-2</v>
      </c>
      <c r="G28" s="5">
        <f t="shared" si="1"/>
        <v>3.7780322477818096E-3</v>
      </c>
      <c r="H28" s="5">
        <v>1.1994127001377791E-3</v>
      </c>
      <c r="I28" s="5">
        <v>4.7296742512967426E-3</v>
      </c>
    </row>
    <row r="29" spans="1:9" ht="16" x14ac:dyDescent="0.25">
      <c r="A29" s="8" t="s">
        <v>24</v>
      </c>
      <c r="B29" s="13">
        <v>-1.7454250441077242E-2</v>
      </c>
      <c r="C29" s="13">
        <v>-1.2773635197070581E-2</v>
      </c>
      <c r="D29" s="5">
        <f t="shared" si="0"/>
        <v>4.6806152440066612E-3</v>
      </c>
      <c r="E29" s="13">
        <v>-4.5924596893535431E-3</v>
      </c>
      <c r="F29" s="13">
        <v>-1.9947090077883601E-3</v>
      </c>
      <c r="G29" s="5">
        <f t="shared" si="1"/>
        <v>2.597750681565183E-3</v>
      </c>
      <c r="H29" s="5">
        <v>1.5358183301436901E-2</v>
      </c>
      <c r="I29" s="5">
        <v>1.7539397119393969E-2</v>
      </c>
    </row>
    <row r="30" spans="1:9" ht="16" x14ac:dyDescent="0.25">
      <c r="A30" s="8" t="s">
        <v>25</v>
      </c>
      <c r="B30" s="13">
        <v>-1.389519911711439E-2</v>
      </c>
      <c r="C30" s="13">
        <v>-1.3097515677501739E-2</v>
      </c>
      <c r="D30" s="5">
        <f t="shared" si="0"/>
        <v>7.9768343961265052E-4</v>
      </c>
      <c r="E30" s="5">
        <v>4.5101987971474218E-3</v>
      </c>
      <c r="F30" s="5">
        <v>1.183069583322783E-3</v>
      </c>
      <c r="G30" s="5">
        <f t="shared" si="1"/>
        <v>3.3271292138246388E-3</v>
      </c>
      <c r="H30" s="13">
        <v>-1.1221602105744841E-2</v>
      </c>
      <c r="I30" s="13">
        <v>-1.269826181498262E-2</v>
      </c>
    </row>
    <row r="31" spans="1:9" ht="16" x14ac:dyDescent="0.25">
      <c r="A31" s="8" t="s">
        <v>26</v>
      </c>
      <c r="B31" s="13">
        <v>-2.4721171870021371E-2</v>
      </c>
      <c r="C31" s="13">
        <v>-2.0163957351550809E-2</v>
      </c>
      <c r="D31" s="5">
        <f t="shared" si="0"/>
        <v>4.557214518470562E-3</v>
      </c>
      <c r="E31" s="5">
        <v>2.2146712347583562E-2</v>
      </c>
      <c r="F31" s="5">
        <v>2.121812100872484E-2</v>
      </c>
      <c r="G31" s="5">
        <f t="shared" si="1"/>
        <v>9.2859133885872178E-4</v>
      </c>
      <c r="H31" s="5">
        <v>6.0929985966952263E-4</v>
      </c>
      <c r="I31" s="5">
        <v>1.053167086531671E-3</v>
      </c>
    </row>
    <row r="32" spans="1:9" ht="16" x14ac:dyDescent="0.25">
      <c r="A32" s="7" t="s">
        <v>27</v>
      </c>
      <c r="B32" s="13">
        <v>1.263006820570107E-2</v>
      </c>
      <c r="C32" s="13">
        <v>1.8530686947854098E-2</v>
      </c>
      <c r="D32" s="5">
        <f t="shared" si="0"/>
        <v>-5.9006187421530281E-3</v>
      </c>
      <c r="E32" s="5">
        <v>-1.3079817187576351E-2</v>
      </c>
      <c r="F32" s="5">
        <v>-1.228485207539408E-2</v>
      </c>
      <c r="G32" s="5">
        <f t="shared" si="1"/>
        <v>7.9496511218227033E-4</v>
      </c>
      <c r="H32" s="5">
        <v>-1.175066411292782E-3</v>
      </c>
      <c r="I32" s="5">
        <v>-2.6603324306033239E-3</v>
      </c>
    </row>
    <row r="33" spans="1:9" ht="16" x14ac:dyDescent="0.25">
      <c r="A33" s="8" t="s">
        <v>28</v>
      </c>
      <c r="B33" s="5">
        <v>1.6721178602789322E-2</v>
      </c>
      <c r="C33" s="5">
        <v>1.9896411544045721E-2</v>
      </c>
      <c r="D33" s="5">
        <f t="shared" si="0"/>
        <v>-3.1752329412563993E-3</v>
      </c>
      <c r="E33" s="5">
        <v>2.0811704059036519E-2</v>
      </c>
      <c r="F33" s="5">
        <v>2.2611215464448619E-2</v>
      </c>
      <c r="G33" s="5">
        <f t="shared" si="1"/>
        <v>-1.7995114054120999E-3</v>
      </c>
      <c r="H33" s="5">
        <v>4.8854568383511071E-3</v>
      </c>
      <c r="I33" s="5">
        <v>7.0422617504226166E-3</v>
      </c>
    </row>
    <row r="34" spans="1:9" ht="16" x14ac:dyDescent="0.25">
      <c r="A34" s="8" t="s">
        <v>29</v>
      </c>
      <c r="B34" s="5">
        <v>5.5530616477151261E-4</v>
      </c>
      <c r="C34" s="13">
        <v>-4.3665933740659304E-3</v>
      </c>
      <c r="D34" s="5">
        <f t="shared" si="0"/>
        <v>-3.8112872092944177E-3</v>
      </c>
      <c r="E34" s="5">
        <v>3.5151270479178618E-3</v>
      </c>
      <c r="F34" s="5">
        <v>5.2001513440060529E-3</v>
      </c>
      <c r="G34" s="5">
        <f t="shared" si="1"/>
        <v>-1.6850242960881911E-3</v>
      </c>
      <c r="H34" s="5">
        <v>6.0067041513338793E-5</v>
      </c>
      <c r="I34" s="5">
        <v>7.1999999519999991E-4</v>
      </c>
    </row>
    <row r="35" spans="1:9" ht="16" x14ac:dyDescent="0.25">
      <c r="A35" s="8" t="s">
        <v>30</v>
      </c>
      <c r="B35" s="5">
        <v>2.4929996493105431E-2</v>
      </c>
      <c r="C35" s="5">
        <v>2.5846063316229261E-2</v>
      </c>
      <c r="D35" s="5">
        <f t="shared" si="0"/>
        <v>-9.1606682312382962E-4</v>
      </c>
      <c r="E35" s="5">
        <v>1.6908666319994079E-2</v>
      </c>
      <c r="F35" s="5">
        <v>1.4765983022639321E-2</v>
      </c>
      <c r="G35" s="5">
        <f t="shared" si="1"/>
        <v>2.1426832973547583E-3</v>
      </c>
      <c r="H35" s="5">
        <v>2.323049949844741E-2</v>
      </c>
      <c r="I35" s="5">
        <v>2.1607780176077809E-2</v>
      </c>
    </row>
    <row r="36" spans="1:9" ht="16" x14ac:dyDescent="0.25">
      <c r="A36" s="7" t="s">
        <v>31</v>
      </c>
      <c r="B36" s="5">
        <v>-2.3124011386774779E-2</v>
      </c>
      <c r="C36" s="5">
        <v>-1.7682694409188269E-2</v>
      </c>
      <c r="D36" s="5">
        <f t="shared" si="0"/>
        <v>5.4413169775865099E-3</v>
      </c>
      <c r="E36" s="5">
        <v>-2.439747485415476E-2</v>
      </c>
      <c r="F36" s="5">
        <v>-2.116422967856918E-2</v>
      </c>
      <c r="G36" s="5">
        <f t="shared" si="1"/>
        <v>3.23324517558558E-3</v>
      </c>
      <c r="H36" s="5">
        <v>-2.596519539733062E-2</v>
      </c>
      <c r="I36" s="5">
        <v>-2.280048960000489E-2</v>
      </c>
    </row>
    <row r="37" spans="1:9" ht="16" x14ac:dyDescent="0.25">
      <c r="A37" s="8" t="s">
        <v>32</v>
      </c>
      <c r="B37" s="5">
        <v>1.8542221309962661E-2</v>
      </c>
      <c r="C37" s="5">
        <v>1.571099996788888E-2</v>
      </c>
      <c r="D37" s="5">
        <f t="shared" si="0"/>
        <v>2.8312213420737808E-3</v>
      </c>
      <c r="E37" s="13">
        <v>-1.940228801157173E-2</v>
      </c>
      <c r="F37" s="13">
        <v>-2.5802519208100769E-2</v>
      </c>
      <c r="G37" s="5">
        <f t="shared" si="1"/>
        <v>-6.4002311965290389E-3</v>
      </c>
      <c r="H37" s="13">
        <v>-6.2450129585625534E-3</v>
      </c>
      <c r="I37" s="13">
        <v>-6.3780097837800977E-3</v>
      </c>
    </row>
    <row r="38" spans="1:9" ht="16" x14ac:dyDescent="0.25">
      <c r="A38" s="7" t="s">
        <v>33</v>
      </c>
      <c r="B38" s="14">
        <v>5.0346058478305138E-2</v>
      </c>
      <c r="C38" s="14">
        <v>4.4991420554602278E-2</v>
      </c>
      <c r="D38" s="5">
        <f t="shared" si="0"/>
        <v>5.3546379237028596E-3</v>
      </c>
      <c r="E38" s="14">
        <v>5.5680468816955188E-2</v>
      </c>
      <c r="F38" s="14">
        <v>4.8635160313406409E-2</v>
      </c>
      <c r="G38" s="5">
        <f t="shared" si="1"/>
        <v>7.0453085035487792E-3</v>
      </c>
      <c r="H38" s="14">
        <v>5.549730683780936E-2</v>
      </c>
      <c r="I38" s="14">
        <v>5.2270554030705553E-2</v>
      </c>
    </row>
    <row r="39" spans="1:9" ht="16" x14ac:dyDescent="0.25">
      <c r="A39" s="7" t="s">
        <v>34</v>
      </c>
      <c r="B39" s="5">
        <v>-2.382239758454625E-3</v>
      </c>
      <c r="C39" s="13">
        <v>9.3039788115531995E-4</v>
      </c>
      <c r="D39" s="5">
        <f t="shared" si="0"/>
        <v>1.451841877299305E-3</v>
      </c>
      <c r="E39" s="5">
        <v>-3.8167783821149589E-3</v>
      </c>
      <c r="F39" s="5">
        <v>-6.70747226829889E-3</v>
      </c>
      <c r="G39" s="5">
        <f t="shared" si="1"/>
        <v>-2.8906938861839311E-3</v>
      </c>
      <c r="H39" s="5">
        <v>-3.2014631953843869E-3</v>
      </c>
      <c r="I39" s="5">
        <v>-4.5037832250378329E-3</v>
      </c>
    </row>
    <row r="40" spans="1:9" ht="16" x14ac:dyDescent="0.25">
      <c r="A40" s="8" t="s">
        <v>35</v>
      </c>
      <c r="B40" s="5">
        <v>-5.9003651971881593E-2</v>
      </c>
      <c r="C40" s="5">
        <v>-5.7672675741408413E-2</v>
      </c>
      <c r="D40" s="5">
        <f t="shared" si="0"/>
        <v>1.3309762304731798E-3</v>
      </c>
      <c r="E40" s="5">
        <v>-5.6818094637034751E-2</v>
      </c>
      <c r="F40" s="5">
        <v>-5.336053442242137E-2</v>
      </c>
      <c r="G40" s="5">
        <f t="shared" si="1"/>
        <v>3.457560214613381E-3</v>
      </c>
      <c r="H40" s="5">
        <v>-5.9167123310509252E-2</v>
      </c>
      <c r="I40" s="5">
        <v>-5.651846367718464E-2</v>
      </c>
    </row>
    <row r="41" spans="1:9" ht="16" x14ac:dyDescent="0.25">
      <c r="A41" s="6" t="s">
        <v>36</v>
      </c>
      <c r="B41" s="5">
        <v>-3.8931655787935279E-3</v>
      </c>
      <c r="C41" s="5">
        <v>2.4956482772942531E-3</v>
      </c>
      <c r="D41" s="5">
        <f t="shared" si="0"/>
        <v>1.3975173014992748E-3</v>
      </c>
      <c r="E41" s="5">
        <v>-4.4552665985439673E-3</v>
      </c>
      <c r="F41" s="5">
        <v>-1.047713705908548E-3</v>
      </c>
      <c r="G41" s="5">
        <f t="shared" si="1"/>
        <v>3.407552892635419E-3</v>
      </c>
      <c r="H41" s="5">
        <v>4.099081327935121E-3</v>
      </c>
      <c r="I41" s="5">
        <v>3.5489279874892799E-3</v>
      </c>
    </row>
    <row r="42" spans="1:9" ht="16" x14ac:dyDescent="0.25">
      <c r="A42" s="6" t="s">
        <v>37</v>
      </c>
      <c r="B42" s="5">
        <v>-2.1117380184391282E-2</v>
      </c>
      <c r="C42" s="5">
        <v>-2.627114247457138E-2</v>
      </c>
      <c r="D42" s="5">
        <f t="shared" si="0"/>
        <v>-5.1537622901800979E-3</v>
      </c>
      <c r="E42" s="5">
        <v>2.3842326462174629E-2</v>
      </c>
      <c r="F42" s="5">
        <v>2.0564027766561108E-2</v>
      </c>
      <c r="G42" s="5">
        <f t="shared" si="1"/>
        <v>3.2782986956135206E-3</v>
      </c>
      <c r="H42" s="5">
        <v>3.8225752520252062E-3</v>
      </c>
      <c r="I42" s="5">
        <v>4.6387456783874561E-3</v>
      </c>
    </row>
    <row r="43" spans="1:9" ht="16" x14ac:dyDescent="0.25">
      <c r="A43" s="6" t="s">
        <v>38</v>
      </c>
      <c r="B43" s="5">
        <v>-1.598484069490699E-2</v>
      </c>
      <c r="C43" s="5">
        <v>-1.7182850798094531E-2</v>
      </c>
      <c r="D43" s="5">
        <f t="shared" si="0"/>
        <v>-1.1980101031875412E-3</v>
      </c>
      <c r="E43" s="5">
        <v>-3.3864329130208502E-2</v>
      </c>
      <c r="F43" s="5">
        <v>-3.3038994601559783E-2</v>
      </c>
      <c r="G43" s="5">
        <f t="shared" si="1"/>
        <v>8.2533452864871903E-4</v>
      </c>
      <c r="H43" s="5">
        <v>1.3839461523486489E-2</v>
      </c>
      <c r="I43" s="5">
        <v>1.109967852299678E-2</v>
      </c>
    </row>
    <row r="44" spans="1:9" ht="16" x14ac:dyDescent="0.25">
      <c r="A44" s="6" t="s">
        <v>39</v>
      </c>
      <c r="B44" s="5">
        <v>-2.474184591036711E-2</v>
      </c>
      <c r="C44" s="5">
        <v>-2.6372637596959729E-2</v>
      </c>
      <c r="D44" s="5">
        <f t="shared" si="0"/>
        <v>-1.6307916865926191E-3</v>
      </c>
      <c r="E44" s="5">
        <v>-1.7783449655349201E-3</v>
      </c>
      <c r="F44" s="5">
        <v>2.8166112166644482E-3</v>
      </c>
      <c r="G44" s="5">
        <f t="shared" si="1"/>
        <v>-1.0382662511295281E-3</v>
      </c>
      <c r="H44" s="5">
        <v>1.081253195106458E-3</v>
      </c>
      <c r="I44" s="5">
        <v>-7.6279841562798415E-4</v>
      </c>
    </row>
    <row r="45" spans="1:9" ht="16" x14ac:dyDescent="0.25">
      <c r="A45" s="6" t="s">
        <v>40</v>
      </c>
      <c r="B45" s="5">
        <v>1.1673950190241511E-2</v>
      </c>
      <c r="C45" s="5">
        <v>1.218444668716074E-2</v>
      </c>
      <c r="D45" s="5">
        <f t="shared" si="0"/>
        <v>-5.104964969192289E-4</v>
      </c>
      <c r="E45" s="5">
        <v>8.8474641359074617E-3</v>
      </c>
      <c r="F45" s="5">
        <v>5.1449504777980187E-3</v>
      </c>
      <c r="G45" s="5">
        <f t="shared" si="1"/>
        <v>3.702513658109443E-3</v>
      </c>
      <c r="H45" s="5">
        <v>-8.3061657193407822E-3</v>
      </c>
      <c r="I45" s="5">
        <v>-8.3124498351244986E-3</v>
      </c>
    </row>
    <row r="46" spans="1:9" ht="16" x14ac:dyDescent="0.25">
      <c r="A46" s="6" t="s">
        <v>41</v>
      </c>
      <c r="B46" s="5">
        <v>6.3964742609161048E-3</v>
      </c>
      <c r="C46" s="5">
        <v>7.386903042989225E-4</v>
      </c>
      <c r="D46" s="5">
        <f t="shared" si="0"/>
        <v>5.6577839566171826E-3</v>
      </c>
      <c r="E46" s="5">
        <v>3.0255946801664279E-2</v>
      </c>
      <c r="F46" s="5">
        <v>3.7321752724870108E-2</v>
      </c>
      <c r="G46" s="5">
        <f t="shared" si="1"/>
        <v>-7.0658059232058291E-3</v>
      </c>
      <c r="H46" s="5">
        <v>-5.9694358699549661E-3</v>
      </c>
      <c r="I46" s="5">
        <v>-1.1324247449242481E-2</v>
      </c>
    </row>
    <row r="47" spans="1:9" ht="16" x14ac:dyDescent="0.25">
      <c r="A47" s="6" t="s">
        <v>42</v>
      </c>
      <c r="B47" s="5">
        <v>-1.101883370740169E-4</v>
      </c>
      <c r="C47" s="5">
        <v>3.9379857708873069E-3</v>
      </c>
      <c r="D47" s="5">
        <f t="shared" si="0"/>
        <v>-3.8277974338132899E-3</v>
      </c>
      <c r="E47" s="5">
        <v>-2.7954363764656681E-2</v>
      </c>
      <c r="F47" s="5">
        <v>-1.9358600166344001E-2</v>
      </c>
      <c r="G47" s="5">
        <f t="shared" si="1"/>
        <v>8.59576359831268E-3</v>
      </c>
      <c r="H47" s="5">
        <v>-9.8040576303454977E-4</v>
      </c>
      <c r="I47" s="5">
        <v>-4.5566568935665689E-3</v>
      </c>
    </row>
    <row r="48" spans="1:9" ht="16" x14ac:dyDescent="0.25">
      <c r="A48" s="7" t="s">
        <v>43</v>
      </c>
      <c r="B48" s="14">
        <v>-1.27529311791682E-2</v>
      </c>
      <c r="C48" s="14">
        <v>-1.361722373524708E-3</v>
      </c>
      <c r="D48" s="5">
        <f t="shared" si="0"/>
        <v>1.1391208805643491E-2</v>
      </c>
      <c r="E48" s="14">
        <v>1.8052405280160042E-2</v>
      </c>
      <c r="F48" s="14">
        <v>2.1104083852163349E-2</v>
      </c>
      <c r="G48" s="5">
        <f t="shared" si="1"/>
        <v>-3.0516785720033079E-3</v>
      </c>
      <c r="H48" s="14">
        <v>3.89053840434055E-3</v>
      </c>
      <c r="I48" s="14">
        <v>8.2748903627489026E-4</v>
      </c>
    </row>
    <row r="49" spans="1:9" ht="16" x14ac:dyDescent="0.25">
      <c r="A49" s="8" t="s">
        <v>44</v>
      </c>
      <c r="B49" s="5">
        <v>0.99548527904139517</v>
      </c>
      <c r="C49" s="5">
        <v>0.99559534173281561</v>
      </c>
      <c r="D49" s="5">
        <f t="shared" si="0"/>
        <v>-1.1006269142044278E-4</v>
      </c>
      <c r="E49" s="5">
        <v>0.99569378691764887</v>
      </c>
      <c r="F49" s="5">
        <v>0.99576294930251796</v>
      </c>
      <c r="G49" s="5">
        <f t="shared" si="1"/>
        <v>-6.9162384869092541E-5</v>
      </c>
      <c r="H49" s="5">
        <v>0.9955119906496539</v>
      </c>
      <c r="I49" s="5">
        <v>0.99556628975566297</v>
      </c>
    </row>
    <row r="50" spans="1:9" ht="16" x14ac:dyDescent="0.25">
      <c r="A50" s="8" t="s">
        <v>45</v>
      </c>
      <c r="B50" s="13">
        <v>-1.784847542557905E-2</v>
      </c>
      <c r="C50" s="13">
        <v>-1.314794812754979E-2</v>
      </c>
      <c r="D50" s="5">
        <f t="shared" si="0"/>
        <v>4.7005272980292605E-3</v>
      </c>
      <c r="E50" s="5">
        <v>2.3946328674192479E-2</v>
      </c>
      <c r="F50" s="5">
        <v>2.4412900336516011E-2</v>
      </c>
      <c r="G50" s="5">
        <f t="shared" si="1"/>
        <v>-4.6657166232353178E-4</v>
      </c>
      <c r="H50" s="5">
        <v>6.6624308129246222E-3</v>
      </c>
      <c r="I50" s="5">
        <v>5.9036314790363153E-3</v>
      </c>
    </row>
    <row r="51" spans="1:9" ht="16" x14ac:dyDescent="0.25">
      <c r="A51" s="7" t="s">
        <v>46</v>
      </c>
      <c r="B51" s="13">
        <v>1.564219258455907E-2</v>
      </c>
      <c r="C51" s="13">
        <v>8.5064058340450915E-3</v>
      </c>
      <c r="D51" s="5">
        <f t="shared" si="0"/>
        <v>7.135786750513979E-3</v>
      </c>
      <c r="E51" s="5">
        <v>-9.9295069991949154E-3</v>
      </c>
      <c r="F51" s="5">
        <v>-1.0409544320381769E-2</v>
      </c>
      <c r="G51" s="5">
        <f t="shared" si="1"/>
        <v>-4.8003732118685402E-4</v>
      </c>
      <c r="H51" s="13">
        <v>6.2128211437317707E-3</v>
      </c>
      <c r="I51" s="13">
        <v>5.3083985930839853E-3</v>
      </c>
    </row>
    <row r="52" spans="1:9" ht="16" x14ac:dyDescent="0.25">
      <c r="A52" s="7" t="s">
        <v>47</v>
      </c>
      <c r="B52" s="5">
        <v>-2.6294457563039299E-2</v>
      </c>
      <c r="C52" s="5">
        <v>-2.3824701313855699E-2</v>
      </c>
      <c r="D52" s="5">
        <f t="shared" si="0"/>
        <v>2.4697562491836009E-3</v>
      </c>
      <c r="E52" s="13">
        <v>1.6113789540323099E-2</v>
      </c>
      <c r="F52" s="13">
        <v>1.668753061950122E-2</v>
      </c>
      <c r="G52" s="5">
        <f t="shared" si="1"/>
        <v>-5.7374107917812153E-4</v>
      </c>
      <c r="H52" s="5">
        <v>-1.242764642842366E-2</v>
      </c>
      <c r="I52" s="5">
        <v>-1.243707180437072E-2</v>
      </c>
    </row>
    <row r="53" spans="1:9" ht="16" x14ac:dyDescent="0.25">
      <c r="B53">
        <f>12</f>
        <v>12</v>
      </c>
      <c r="C53">
        <v>14</v>
      </c>
      <c r="E53" s="5">
        <v>6</v>
      </c>
      <c r="F53" s="5">
        <v>6</v>
      </c>
      <c r="G53" s="5"/>
    </row>
  </sheetData>
  <mergeCells count="4">
    <mergeCell ref="B5:C5"/>
    <mergeCell ref="E5:F5"/>
    <mergeCell ref="H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59F2-A824-40E5-9878-DF8D4E6B8344}">
  <dimension ref="B1:G47"/>
  <sheetViews>
    <sheetView zoomScale="175" zoomScaleNormal="175" workbookViewId="0">
      <selection activeCell="D7" sqref="D7"/>
    </sheetView>
  </sheetViews>
  <sheetFormatPr baseColWidth="10" defaultColWidth="8.83203125" defaultRowHeight="15" x14ac:dyDescent="0.2"/>
  <cols>
    <col min="2" max="2" width="32" bestFit="1" customWidth="1"/>
    <col min="3" max="3" width="12.6640625" bestFit="1" customWidth="1"/>
    <col min="4" max="4" width="12.6640625" customWidth="1"/>
    <col min="6" max="6" width="32" bestFit="1" customWidth="1"/>
  </cols>
  <sheetData>
    <row r="1" spans="2:7" x14ac:dyDescent="0.2">
      <c r="B1" s="1" t="s">
        <v>1</v>
      </c>
      <c r="C1" t="s">
        <v>48</v>
      </c>
      <c r="F1" s="1" t="s">
        <v>1</v>
      </c>
      <c r="G1" t="s">
        <v>49</v>
      </c>
    </row>
    <row r="2" spans="2:7" x14ac:dyDescent="0.2">
      <c r="B2" s="1" t="s">
        <v>44</v>
      </c>
      <c r="C2">
        <v>0.99548527904139517</v>
      </c>
      <c r="F2" s="1" t="s">
        <v>44</v>
      </c>
      <c r="G2">
        <v>0.99569378691764887</v>
      </c>
    </row>
    <row r="3" spans="2:7" x14ac:dyDescent="0.2">
      <c r="B3" s="1" t="s">
        <v>33</v>
      </c>
      <c r="C3">
        <v>5.0346058478305138E-2</v>
      </c>
      <c r="F3" s="1" t="s">
        <v>33</v>
      </c>
      <c r="G3">
        <v>5.5680468816955188E-2</v>
      </c>
    </row>
    <row r="4" spans="2:7" x14ac:dyDescent="0.2">
      <c r="B4" s="1" t="s">
        <v>7</v>
      </c>
      <c r="C4">
        <v>3.6610972012434698E-2</v>
      </c>
      <c r="F4" s="1" t="s">
        <v>18</v>
      </c>
      <c r="G4">
        <v>3.4326531628288547E-2</v>
      </c>
    </row>
    <row r="5" spans="2:7" x14ac:dyDescent="0.2">
      <c r="B5" s="1" t="s">
        <v>18</v>
      </c>
      <c r="C5">
        <v>3.3668589547357353E-2</v>
      </c>
      <c r="F5" s="1" t="s">
        <v>41</v>
      </c>
      <c r="G5">
        <v>3.0255946801664279E-2</v>
      </c>
    </row>
    <row r="6" spans="2:7" x14ac:dyDescent="0.2">
      <c r="B6" s="1" t="s">
        <v>30</v>
      </c>
      <c r="C6">
        <v>2.4929996493105431E-2</v>
      </c>
      <c r="F6" s="1" t="s">
        <v>23</v>
      </c>
      <c r="G6">
        <v>2.7673489011600071E-2</v>
      </c>
    </row>
    <row r="7" spans="2:7" x14ac:dyDescent="0.2">
      <c r="B7" s="1" t="s">
        <v>3</v>
      </c>
      <c r="C7">
        <v>2.1702367025812169E-2</v>
      </c>
      <c r="F7" s="1" t="s">
        <v>19</v>
      </c>
      <c r="G7">
        <v>2.6390120624583509E-2</v>
      </c>
    </row>
    <row r="8" spans="2:7" x14ac:dyDescent="0.2">
      <c r="B8" s="1" t="s">
        <v>32</v>
      </c>
      <c r="C8">
        <v>1.8542221309962661E-2</v>
      </c>
      <c r="F8" s="1" t="s">
        <v>5</v>
      </c>
      <c r="G8">
        <v>2.504090322349484E-2</v>
      </c>
    </row>
    <row r="9" spans="2:7" x14ac:dyDescent="0.2">
      <c r="B9" s="1" t="s">
        <v>14</v>
      </c>
      <c r="C9">
        <v>1.7530294798209799E-2</v>
      </c>
      <c r="F9" s="1" t="s">
        <v>45</v>
      </c>
      <c r="G9">
        <v>2.3946328674192479E-2</v>
      </c>
    </row>
    <row r="10" spans="2:7" x14ac:dyDescent="0.2">
      <c r="B10" s="1" t="s">
        <v>28</v>
      </c>
      <c r="C10">
        <v>1.6721178602789322E-2</v>
      </c>
      <c r="F10" s="1" t="s">
        <v>37</v>
      </c>
      <c r="G10">
        <v>2.3842326462174629E-2</v>
      </c>
    </row>
    <row r="11" spans="2:7" x14ac:dyDescent="0.2">
      <c r="B11" s="1" t="s">
        <v>46</v>
      </c>
      <c r="C11">
        <v>1.564219258455907E-2</v>
      </c>
      <c r="F11" s="1" t="s">
        <v>26</v>
      </c>
      <c r="G11">
        <v>2.2146712347583562E-2</v>
      </c>
    </row>
    <row r="12" spans="2:7" x14ac:dyDescent="0.2">
      <c r="B12" s="1" t="s">
        <v>20</v>
      </c>
      <c r="C12">
        <v>1.3500301630757539E-2</v>
      </c>
      <c r="F12" s="1" t="s">
        <v>28</v>
      </c>
      <c r="G12">
        <v>2.0811704059036519E-2</v>
      </c>
    </row>
    <row r="13" spans="2:7" x14ac:dyDescent="0.2">
      <c r="B13" s="1" t="s">
        <v>27</v>
      </c>
      <c r="C13">
        <v>1.263006820570107E-2</v>
      </c>
      <c r="F13" s="1" t="s">
        <v>43</v>
      </c>
      <c r="G13">
        <v>1.8052405280160042E-2</v>
      </c>
    </row>
    <row r="14" spans="2:7" x14ac:dyDescent="0.2">
      <c r="B14" s="1" t="s">
        <v>15</v>
      </c>
      <c r="C14">
        <v>1.1891952729071269E-2</v>
      </c>
      <c r="F14" s="1" t="s">
        <v>30</v>
      </c>
      <c r="G14">
        <v>1.6908666319994079E-2</v>
      </c>
    </row>
    <row r="15" spans="2:7" x14ac:dyDescent="0.2">
      <c r="B15" s="1" t="s">
        <v>40</v>
      </c>
      <c r="C15">
        <v>1.1673950190241511E-2</v>
      </c>
      <c r="F15" s="1" t="s">
        <v>13</v>
      </c>
      <c r="G15">
        <v>1.6459856273734981E-2</v>
      </c>
    </row>
    <row r="16" spans="2:7" x14ac:dyDescent="0.2">
      <c r="B16" s="1" t="s">
        <v>17</v>
      </c>
      <c r="C16">
        <v>1.0088343692209239E-2</v>
      </c>
      <c r="F16" s="1" t="s">
        <v>47</v>
      </c>
      <c r="G16">
        <v>1.6113789540323099E-2</v>
      </c>
    </row>
    <row r="17" spans="2:7" x14ac:dyDescent="0.2">
      <c r="B17" s="1" t="s">
        <v>21</v>
      </c>
      <c r="C17">
        <v>7.1991204585296672E-3</v>
      </c>
      <c r="F17" s="1" t="s">
        <v>12</v>
      </c>
      <c r="G17">
        <v>1.530639158622088E-2</v>
      </c>
    </row>
    <row r="18" spans="2:7" x14ac:dyDescent="0.2">
      <c r="B18" s="1" t="s">
        <v>41</v>
      </c>
      <c r="C18">
        <v>6.3964742609161048E-3</v>
      </c>
      <c r="F18" s="1" t="s">
        <v>6</v>
      </c>
      <c r="G18">
        <v>1.3814880114107621E-2</v>
      </c>
    </row>
    <row r="19" spans="2:7" x14ac:dyDescent="0.2">
      <c r="B19" s="1" t="s">
        <v>5</v>
      </c>
      <c r="C19">
        <v>6.2106232555010701E-3</v>
      </c>
      <c r="F19" s="1" t="s">
        <v>10</v>
      </c>
      <c r="G19">
        <v>1.318698113649038E-2</v>
      </c>
    </row>
    <row r="20" spans="2:7" x14ac:dyDescent="0.2">
      <c r="B20" s="1" t="s">
        <v>19</v>
      </c>
      <c r="C20">
        <v>5.2719288492934016E-3</v>
      </c>
      <c r="F20" s="1" t="s">
        <v>21</v>
      </c>
      <c r="G20">
        <v>1.183825501261301E-2</v>
      </c>
    </row>
    <row r="21" spans="2:7" x14ac:dyDescent="0.2">
      <c r="B21" s="1" t="s">
        <v>10</v>
      </c>
      <c r="C21">
        <v>4.7525000244051756E-3</v>
      </c>
      <c r="F21" s="1" t="s">
        <v>16</v>
      </c>
      <c r="G21">
        <v>1.1387022844160559E-2</v>
      </c>
    </row>
    <row r="22" spans="2:7" x14ac:dyDescent="0.2">
      <c r="B22" s="1" t="s">
        <v>11</v>
      </c>
      <c r="C22">
        <v>4.2810965537196932E-3</v>
      </c>
      <c r="F22" s="1" t="s">
        <v>17</v>
      </c>
      <c r="G22">
        <v>1.022956822867792E-2</v>
      </c>
    </row>
    <row r="23" spans="2:7" x14ac:dyDescent="0.2">
      <c r="B23" s="1" t="s">
        <v>8</v>
      </c>
      <c r="C23">
        <v>3.7031760118444099E-3</v>
      </c>
      <c r="F23" s="1" t="s">
        <v>11</v>
      </c>
      <c r="G23">
        <v>8.8874453891439904E-3</v>
      </c>
    </row>
    <row r="24" spans="2:7" x14ac:dyDescent="0.2">
      <c r="B24" s="1" t="s">
        <v>29</v>
      </c>
      <c r="C24">
        <v>5.5530616477151261E-4</v>
      </c>
      <c r="F24" s="1" t="s">
        <v>40</v>
      </c>
      <c r="G24">
        <v>8.8474641359074617E-3</v>
      </c>
    </row>
    <row r="25" spans="2:7" x14ac:dyDescent="0.2">
      <c r="B25" s="1" t="s">
        <v>42</v>
      </c>
      <c r="C25">
        <v>-1.101883370740169E-4</v>
      </c>
      <c r="F25" s="1" t="s">
        <v>8</v>
      </c>
      <c r="G25">
        <v>6.5996531134725599E-3</v>
      </c>
    </row>
    <row r="26" spans="2:7" x14ac:dyDescent="0.2">
      <c r="B26" s="1" t="s">
        <v>34</v>
      </c>
      <c r="C26">
        <v>-2.382239758454625E-3</v>
      </c>
      <c r="F26" s="1" t="s">
        <v>20</v>
      </c>
      <c r="G26">
        <v>6.3752389022679063E-3</v>
      </c>
    </row>
    <row r="27" spans="2:7" x14ac:dyDescent="0.2">
      <c r="B27" s="1" t="s">
        <v>4</v>
      </c>
      <c r="C27">
        <v>-2.552058084792285E-3</v>
      </c>
      <c r="F27" s="1" t="s">
        <v>9</v>
      </c>
      <c r="G27">
        <v>5.2301100000523596E-3</v>
      </c>
    </row>
    <row r="28" spans="2:7" x14ac:dyDescent="0.2">
      <c r="B28" s="1" t="s">
        <v>36</v>
      </c>
      <c r="C28">
        <v>-3.8931655787935279E-3</v>
      </c>
      <c r="F28" s="1" t="s">
        <v>25</v>
      </c>
      <c r="G28">
        <v>4.5101987971474218E-3</v>
      </c>
    </row>
    <row r="29" spans="2:7" x14ac:dyDescent="0.2">
      <c r="B29" s="1" t="s">
        <v>2</v>
      </c>
      <c r="C29">
        <v>-5.6605697869419724E-3</v>
      </c>
      <c r="F29" s="1" t="s">
        <v>29</v>
      </c>
      <c r="G29">
        <v>3.5151270479178618E-3</v>
      </c>
    </row>
    <row r="30" spans="2:7" x14ac:dyDescent="0.2">
      <c r="B30" s="1" t="s">
        <v>13</v>
      </c>
      <c r="C30">
        <v>-5.732694092694772E-3</v>
      </c>
      <c r="F30" s="1" t="s">
        <v>14</v>
      </c>
      <c r="G30">
        <v>3.2211010056792532E-3</v>
      </c>
    </row>
    <row r="31" spans="2:7" x14ac:dyDescent="0.2">
      <c r="B31" s="1" t="s">
        <v>12</v>
      </c>
      <c r="C31">
        <v>-6.3506921252758433E-3</v>
      </c>
      <c r="F31" s="1" t="s">
        <v>39</v>
      </c>
      <c r="G31">
        <v>-1.7783449655349201E-3</v>
      </c>
    </row>
    <row r="32" spans="2:7" x14ac:dyDescent="0.2">
      <c r="B32" s="1" t="s">
        <v>23</v>
      </c>
      <c r="C32">
        <v>-1.034838921628487E-2</v>
      </c>
      <c r="F32" s="1" t="s">
        <v>2</v>
      </c>
      <c r="G32">
        <v>-3.7140377479983849E-3</v>
      </c>
    </row>
    <row r="33" spans="2:7" x14ac:dyDescent="0.2">
      <c r="B33" s="1" t="s">
        <v>43</v>
      </c>
      <c r="C33">
        <v>-1.27529311791682E-2</v>
      </c>
      <c r="F33" s="1" t="s">
        <v>34</v>
      </c>
      <c r="G33">
        <v>-3.8167783821149589E-3</v>
      </c>
    </row>
    <row r="34" spans="2:7" x14ac:dyDescent="0.2">
      <c r="B34" s="1" t="s">
        <v>25</v>
      </c>
      <c r="C34">
        <v>-1.389519911711439E-2</v>
      </c>
      <c r="F34" s="1" t="s">
        <v>36</v>
      </c>
      <c r="G34">
        <v>-4.4552665985439673E-3</v>
      </c>
    </row>
    <row r="35" spans="2:7" x14ac:dyDescent="0.2">
      <c r="B35" s="1" t="s">
        <v>6</v>
      </c>
      <c r="C35">
        <v>-1.497674424787405E-2</v>
      </c>
      <c r="F35" s="1" t="s">
        <v>7</v>
      </c>
      <c r="G35">
        <v>-4.4991357719651077E-3</v>
      </c>
    </row>
    <row r="36" spans="2:7" x14ac:dyDescent="0.2">
      <c r="B36" s="1" t="s">
        <v>38</v>
      </c>
      <c r="C36">
        <v>-1.598484069490699E-2</v>
      </c>
      <c r="F36" s="1" t="s">
        <v>24</v>
      </c>
      <c r="G36">
        <v>-4.5924596893535431E-3</v>
      </c>
    </row>
    <row r="37" spans="2:7" x14ac:dyDescent="0.2">
      <c r="B37" s="1" t="s">
        <v>24</v>
      </c>
      <c r="C37">
        <v>-1.7454250441077242E-2</v>
      </c>
      <c r="F37" s="1" t="s">
        <v>22</v>
      </c>
      <c r="G37">
        <v>-7.5027737919340946E-3</v>
      </c>
    </row>
    <row r="38" spans="2:7" x14ac:dyDescent="0.2">
      <c r="B38" s="1" t="s">
        <v>45</v>
      </c>
      <c r="C38">
        <v>-1.784847542557905E-2</v>
      </c>
      <c r="F38" s="1" t="s">
        <v>46</v>
      </c>
      <c r="G38">
        <v>-9.9295069991949154E-3</v>
      </c>
    </row>
    <row r="39" spans="2:7" x14ac:dyDescent="0.2">
      <c r="B39" s="1" t="s">
        <v>22</v>
      </c>
      <c r="C39">
        <v>-1.8346219488614209E-2</v>
      </c>
      <c r="F39" s="1" t="s">
        <v>15</v>
      </c>
      <c r="G39">
        <v>-1.280002685234132E-2</v>
      </c>
    </row>
    <row r="40" spans="2:7" x14ac:dyDescent="0.2">
      <c r="B40" s="1" t="s">
        <v>37</v>
      </c>
      <c r="C40">
        <v>-2.1117380184391282E-2</v>
      </c>
      <c r="F40" s="1" t="s">
        <v>27</v>
      </c>
      <c r="G40">
        <v>-1.3079817187576351E-2</v>
      </c>
    </row>
    <row r="41" spans="2:7" x14ac:dyDescent="0.2">
      <c r="B41" s="1" t="s">
        <v>31</v>
      </c>
      <c r="C41">
        <v>-2.3124011386774779E-2</v>
      </c>
      <c r="F41" s="1" t="s">
        <v>3</v>
      </c>
      <c r="G41">
        <v>-1.3563661210861271E-2</v>
      </c>
    </row>
    <row r="42" spans="2:7" x14ac:dyDescent="0.2">
      <c r="B42" s="1" t="s">
        <v>26</v>
      </c>
      <c r="C42">
        <v>-2.4721171870021371E-2</v>
      </c>
      <c r="F42" s="1" t="s">
        <v>4</v>
      </c>
      <c r="G42">
        <v>-1.363276452956081E-2</v>
      </c>
    </row>
    <row r="43" spans="2:7" x14ac:dyDescent="0.2">
      <c r="B43" s="1" t="s">
        <v>39</v>
      </c>
      <c r="C43">
        <v>-2.474184591036711E-2</v>
      </c>
      <c r="F43" s="1" t="s">
        <v>32</v>
      </c>
      <c r="G43">
        <v>-1.940228801157173E-2</v>
      </c>
    </row>
    <row r="44" spans="2:7" x14ac:dyDescent="0.2">
      <c r="B44" s="1" t="s">
        <v>16</v>
      </c>
      <c r="C44">
        <v>-2.5657950420819989E-2</v>
      </c>
      <c r="F44" s="1" t="s">
        <v>31</v>
      </c>
      <c r="G44">
        <v>-2.439747485415476E-2</v>
      </c>
    </row>
    <row r="45" spans="2:7" x14ac:dyDescent="0.2">
      <c r="B45" s="1" t="s">
        <v>47</v>
      </c>
      <c r="C45">
        <v>-2.6294457563039299E-2</v>
      </c>
      <c r="F45" s="1" t="s">
        <v>42</v>
      </c>
      <c r="G45">
        <v>-2.7954363764656681E-2</v>
      </c>
    </row>
    <row r="46" spans="2:7" x14ac:dyDescent="0.2">
      <c r="B46" s="1" t="s">
        <v>9</v>
      </c>
      <c r="C46" s="2">
        <v>-3.9814419149849539E-2</v>
      </c>
      <c r="F46" s="1" t="s">
        <v>38</v>
      </c>
      <c r="G46">
        <v>-3.3864329130208502E-2</v>
      </c>
    </row>
    <row r="47" spans="2:7" x14ac:dyDescent="0.2">
      <c r="B47" s="1" t="s">
        <v>35</v>
      </c>
      <c r="C47">
        <v>-5.9003651971881593E-2</v>
      </c>
      <c r="F47" s="1" t="s">
        <v>35</v>
      </c>
      <c r="G47">
        <v>-5.6818094637034751E-2</v>
      </c>
    </row>
  </sheetData>
  <sortState xmlns:xlrd2="http://schemas.microsoft.com/office/spreadsheetml/2017/richdata2" ref="F2:G47">
    <sortCondition descending="1" ref="G2:G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Pearson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2025-12-02T23:37:16Z</dcterms:created>
  <dcterms:modified xsi:type="dcterms:W3CDTF">2025-12-04T18:07:40Z</dcterms:modified>
</cp:coreProperties>
</file>