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rms6987_psu_edu/Documents/Students/Students_shared/Shi_Wadgama_shared/Models/ATJSPK/atj_saf/atj_bst/"/>
    </mc:Choice>
  </mc:AlternateContent>
  <xr:revisionPtr revIDLastSave="19" documentId="11_2B59D2BFD3F056143F1A3811591710B56457FAD2" xr6:coauthVersionLast="47" xr6:coauthVersionMax="47" xr10:uidLastSave="{DD608BEA-F976-4805-A842-D4E187334162}"/>
  <bookViews>
    <workbookView xWindow="57480" yWindow="516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7" i="1" s="1"/>
  <c r="K14" i="1"/>
</calcChain>
</file>

<file path=xl/sharedStrings.xml><?xml version="1.0" encoding="utf-8"?>
<sst xmlns="http://schemas.openxmlformats.org/spreadsheetml/2006/main" count="31" uniqueCount="31">
  <si>
    <t>Unit</t>
  </si>
  <si>
    <t>Installed Cost</t>
  </si>
  <si>
    <t>FURNACE_3</t>
  </si>
  <si>
    <t>F1</t>
  </si>
  <si>
    <t>COOLER_5</t>
  </si>
  <si>
    <t>DISTILLATION_3</t>
  </si>
  <si>
    <t>COOLER_6</t>
  </si>
  <si>
    <t>COOLER_3</t>
  </si>
  <si>
    <t>COMP_1</t>
  </si>
  <si>
    <t>SAF_STORAGE</t>
  </si>
  <si>
    <t>COMP_2</t>
  </si>
  <si>
    <t>PUMP1</t>
  </si>
  <si>
    <t>COOLER_8</t>
  </si>
  <si>
    <t>FLASH_1</t>
  </si>
  <si>
    <t>OLIG_1</t>
  </si>
  <si>
    <t>T1</t>
  </si>
  <si>
    <t>DISTILLATION_1</t>
  </si>
  <si>
    <t>H2_STORAGE</t>
  </si>
  <si>
    <t>DISTILLATION_4</t>
  </si>
  <si>
    <t>hydgn</t>
  </si>
  <si>
    <t>DISTILLATION_2</t>
  </si>
  <si>
    <t>FURNACE_2</t>
  </si>
  <si>
    <t>COOLER_7</t>
  </si>
  <si>
    <t>FURNACE_1</t>
  </si>
  <si>
    <t>DEHYD_1</t>
  </si>
  <si>
    <t>RN_STORAGE</t>
  </si>
  <si>
    <t>RD_STORAGE</t>
  </si>
  <si>
    <t>$/MMBTU</t>
  </si>
  <si>
    <t>MJ/Btu</t>
  </si>
  <si>
    <t>$/MJ</t>
  </si>
  <si>
    <t>MJ/kg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</si>
</sst>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zoomScale="130" zoomScaleNormal="130" workbookViewId="0">
      <selection activeCell="K14" sqref="K14"/>
    </sheetView>
  </sheetViews>
  <sheetFormatPr defaultRowHeight="14.25" x14ac:dyDescent="0.45"/>
  <cols>
    <col min="11" max="11" width="11" bestFit="1" customWidth="1"/>
  </cols>
  <sheetData>
    <row r="1" spans="1:12" x14ac:dyDescent="0.45">
      <c r="A1" s="1" t="s">
        <v>0</v>
      </c>
      <c r="B1" s="1" t="s">
        <v>1</v>
      </c>
    </row>
    <row r="2" spans="1:12" x14ac:dyDescent="0.45">
      <c r="A2" t="s">
        <v>2</v>
      </c>
      <c r="B2">
        <v>242988.82697068469</v>
      </c>
    </row>
    <row r="3" spans="1:12" x14ac:dyDescent="0.45">
      <c r="A3" t="s">
        <v>3</v>
      </c>
      <c r="B3">
        <v>22051.211239255928</v>
      </c>
    </row>
    <row r="4" spans="1:12" x14ac:dyDescent="0.45">
      <c r="A4" t="s">
        <v>4</v>
      </c>
      <c r="B4">
        <v>30020.2344855382</v>
      </c>
    </row>
    <row r="5" spans="1:12" x14ac:dyDescent="0.45">
      <c r="A5" t="s">
        <v>5</v>
      </c>
      <c r="B5">
        <v>187405.04692157931</v>
      </c>
    </row>
    <row r="6" spans="1:12" x14ac:dyDescent="0.45">
      <c r="A6" t="s">
        <v>6</v>
      </c>
      <c r="B6">
        <v>6113.5127531592934</v>
      </c>
    </row>
    <row r="7" spans="1:12" x14ac:dyDescent="0.45">
      <c r="A7" t="s">
        <v>7</v>
      </c>
      <c r="B7">
        <v>8186.5347027469061</v>
      </c>
    </row>
    <row r="8" spans="1:12" x14ac:dyDescent="0.45">
      <c r="A8" t="s">
        <v>8</v>
      </c>
      <c r="B8">
        <v>362176.17488470598</v>
      </c>
    </row>
    <row r="9" spans="1:12" x14ac:dyDescent="0.45">
      <c r="A9" t="s">
        <v>9</v>
      </c>
      <c r="B9">
        <v>977964.0251020384</v>
      </c>
    </row>
    <row r="10" spans="1:12" x14ac:dyDescent="0.45">
      <c r="A10" t="s">
        <v>10</v>
      </c>
      <c r="B10">
        <v>317770.91285380791</v>
      </c>
    </row>
    <row r="11" spans="1:12" x14ac:dyDescent="0.45">
      <c r="A11" t="s">
        <v>11</v>
      </c>
      <c r="B11">
        <v>10706.50309601446</v>
      </c>
    </row>
    <row r="12" spans="1:12" x14ac:dyDescent="0.45">
      <c r="A12" t="s">
        <v>12</v>
      </c>
      <c r="B12">
        <v>4591.4533034187043</v>
      </c>
    </row>
    <row r="13" spans="1:12" x14ac:dyDescent="0.45">
      <c r="A13" t="s">
        <v>13</v>
      </c>
      <c r="B13">
        <v>51451.607532363567</v>
      </c>
      <c r="K13">
        <v>3</v>
      </c>
      <c r="L13" t="s">
        <v>27</v>
      </c>
    </row>
    <row r="14" spans="1:12" x14ac:dyDescent="0.45">
      <c r="A14" t="s">
        <v>14</v>
      </c>
      <c r="B14">
        <v>636673.61664540169</v>
      </c>
      <c r="K14">
        <f>0.00105506</f>
        <v>1.05506E-3</v>
      </c>
      <c r="L14" t="s">
        <v>28</v>
      </c>
    </row>
    <row r="15" spans="1:12" x14ac:dyDescent="0.45">
      <c r="A15" t="s">
        <v>15</v>
      </c>
      <c r="B15">
        <v>1375786.2235290101</v>
      </c>
      <c r="K15">
        <f>K13/1000000/K14</f>
        <v>2.8434401834966732E-3</v>
      </c>
      <c r="L15" t="s">
        <v>29</v>
      </c>
    </row>
    <row r="16" spans="1:12" x14ac:dyDescent="0.45">
      <c r="A16" t="s">
        <v>16</v>
      </c>
      <c r="B16">
        <v>273870.88891185587</v>
      </c>
      <c r="K16">
        <v>55.116334399999992</v>
      </c>
      <c r="L16" t="s">
        <v>30</v>
      </c>
    </row>
    <row r="17" spans="1:11" x14ac:dyDescent="0.45">
      <c r="A17" t="s">
        <v>17</v>
      </c>
      <c r="B17">
        <v>9375016.3528315015</v>
      </c>
      <c r="K17">
        <f>K15*K16</f>
        <v>0.15671999999999997</v>
      </c>
    </row>
    <row r="18" spans="1:11" x14ac:dyDescent="0.45">
      <c r="A18" t="s">
        <v>18</v>
      </c>
      <c r="B18">
        <v>242844.7950109489</v>
      </c>
    </row>
    <row r="19" spans="1:11" x14ac:dyDescent="0.45">
      <c r="A19" t="s">
        <v>19</v>
      </c>
      <c r="B19">
        <v>206631.3831473281</v>
      </c>
    </row>
    <row r="20" spans="1:11" x14ac:dyDescent="0.45">
      <c r="A20" t="s">
        <v>20</v>
      </c>
      <c r="B20">
        <v>242027.68438543711</v>
      </c>
    </row>
    <row r="21" spans="1:11" x14ac:dyDescent="0.45">
      <c r="A21" t="s">
        <v>21</v>
      </c>
      <c r="B21">
        <v>392423.7005569762</v>
      </c>
    </row>
    <row r="22" spans="1:11" x14ac:dyDescent="0.45">
      <c r="A22" t="s">
        <v>22</v>
      </c>
      <c r="B22">
        <v>29694.239709948961</v>
      </c>
    </row>
    <row r="23" spans="1:11" x14ac:dyDescent="0.45">
      <c r="A23" t="s">
        <v>23</v>
      </c>
      <c r="B23">
        <v>37927.649042661797</v>
      </c>
    </row>
    <row r="24" spans="1:11" x14ac:dyDescent="0.45">
      <c r="A24" t="s">
        <v>24</v>
      </c>
      <c r="B24">
        <v>3709292.1014242368</v>
      </c>
    </row>
    <row r="25" spans="1:11" x14ac:dyDescent="0.45">
      <c r="A25" t="s">
        <v>25</v>
      </c>
      <c r="B25">
        <v>682384.64690777345</v>
      </c>
    </row>
    <row r="26" spans="1:11" x14ac:dyDescent="0.45">
      <c r="A26" t="s">
        <v>26</v>
      </c>
      <c r="B26">
        <v>80356.953576354761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Wadgama, Hafi</cp:lastModifiedBy>
  <dcterms:created xsi:type="dcterms:W3CDTF">2025-10-31T19:29:31Z</dcterms:created>
  <dcterms:modified xsi:type="dcterms:W3CDTF">2025-11-01T12:43:53Z</dcterms:modified>
</cp:coreProperties>
</file>